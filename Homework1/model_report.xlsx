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media/image24.png" ContentType="image/png"/>
  <Override PartName="/xl/media/image23.png" ContentType="image/png"/>
  <Override PartName="/xl/media/image22.png" ContentType="image/png"/>
  <Override PartName="/xl/media/image21.png" ContentType="image/png"/>
  <Override PartName="/xl/media/image19.png" ContentType="image/png"/>
  <Override PartName="/xl/media/image20.png" ContentType="image/png"/>
  <Override PartName="/xl/media/image18.png" ContentType="image/png"/>
  <Override PartName="/xl/media/image17.png" ContentType="image/png"/>
  <Override PartName="/xl/media/image16.png" ContentType="image/png"/>
  <Override PartName="/xl/media/image15.png" ContentType="image/png"/>
  <Override PartName="/xl/media/image25.png" ContentType="image/png"/>
  <Override PartName="/xl/media/image2.png" ContentType="image/png"/>
  <Override PartName="/xl/media/image32.png" ContentType="image/png"/>
  <Override PartName="/xl/media/image26.png" ContentType="image/png"/>
  <Override PartName="/xl/media/image3.png" ContentType="image/png"/>
  <Override PartName="/xl/media/image33.png" ContentType="image/png"/>
  <Override PartName="/xl/media/image13.png" ContentType="image/png"/>
  <Override PartName="/xl/media/image41.png" ContentType="image/png"/>
  <Override PartName="/xl/media/image40.png" ContentType="image/png"/>
  <Override PartName="/xl/media/image39.png" ContentType="image/png"/>
  <Override PartName="/xl/media/image9.png" ContentType="image/png"/>
  <Override PartName="/xl/media/image14.png" ContentType="image/png"/>
  <Override PartName="/xl/media/image42.png" ContentType="image/png"/>
  <Override PartName="/xl/media/image31.png" ContentType="image/png"/>
  <Override PartName="/xl/media/image29.png" ContentType="image/png"/>
  <Override PartName="/xl/media/image43.png" ContentType="image/png"/>
  <Override PartName="/xl/media/image44.png" ContentType="image/png"/>
  <Override PartName="/xl/media/image45.png" ContentType="image/png"/>
  <Override PartName="/xl/media/image10.png" ContentType="image/png"/>
  <Override PartName="/xl/media/image46.png" ContentType="image/png"/>
  <Override PartName="/xl/media/image11.png" ContentType="image/png"/>
  <Override PartName="/xl/media/image38.png" ContentType="image/png"/>
  <Override PartName="/xl/media/image8.png" ContentType="image/png"/>
  <Override PartName="/xl/media/image12.png" ContentType="image/png"/>
  <Override PartName="/xl/media/image37.png" ContentType="image/png"/>
  <Override PartName="/xl/media/image7.png" ContentType="image/png"/>
  <Override PartName="/xl/media/image6.png" ContentType="image/png"/>
  <Override PartName="/xl/media/image36.png" ContentType="image/png"/>
  <Override PartName="/xl/media/image35.png" ContentType="image/png"/>
  <Override PartName="/xl/media/image5.png" ContentType="image/png"/>
  <Override PartName="/xl/media/image28.png" ContentType="image/png"/>
  <Override PartName="/xl/media/image30.png" ContentType="image/png"/>
  <Override PartName="/xl/media/image34.png" ContentType="image/png"/>
  <Override PartName="/xl/media/image4.png" ContentType="image/png"/>
  <Override PartName="/xl/media/image27.png" ContentType="image/png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Report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<sst xmlns="http://schemas.openxmlformats.org/spreadsheetml/2006/main" count="78" uniqueCount="58">
  <si>
    <t xml:space="preserve">Model</t>
  </si>
  <si>
    <t xml:space="preserve">Scaling</t>
  </si>
  <si>
    <t xml:space="preserve">Number of variables</t>
  </si>
  <si>
    <t xml:space="preserve">Hyperparams</t>
  </si>
  <si>
    <t xml:space="preserve">Precision</t>
  </si>
  <si>
    <t xml:space="preserve">Precision increase from base model (in %)</t>
  </si>
  <si>
    <t xml:space="preserve">Recall</t>
  </si>
  <si>
    <t xml:space="preserve">Recall increase from base model (in %)</t>
  </si>
  <si>
    <t xml:space="preserve">F1 Score</t>
  </si>
  <si>
    <t xml:space="preserve">F1 score increase from base model (in %)</t>
  </si>
  <si>
    <t xml:space="preserve">Confusion matrix</t>
  </si>
  <si>
    <t xml:space="preserve">Comments</t>
  </si>
  <si>
    <t xml:space="preserve">Base model</t>
  </si>
  <si>
    <t xml:space="preserve">For every one of the models I have tried applying scaling and PCA, because otherwise there were too many feature columns to even be able to train the models. I have tried training knn, cart, logistic, adaboost and xgboost models.</t>
  </si>
  <si>
    <t xml:space="preserve">knn model on RangeIndex(start=0, stop=1, step=1)</t>
  </si>
  <si>
    <t xml:space="preserve">{'knn__n_neighbors': np.int64(11)}</t>
  </si>
  <si>
    <t xml:space="preserve">logistic model on RangeIndex(start=0, stop=1, step=1)</t>
  </si>
  <si>
    <t xml:space="preserve">{'logistic__penalty': 'l2', 'logistic__C': np.float64(0.9)}</t>
  </si>
  <si>
    <t xml:space="preserve">{'logistic__penalty': 'l2', 'logistic__C': np.float64(0.1)}</t>
  </si>
  <si>
    <t xml:space="preserve">cart model on RangeIndex(start=0, stop=1, step=1)</t>
  </si>
  <si>
    <t xml:space="preserve">{'cart__min_samples_split': np.int64(5), 'cart__max_depth': np.int64(3), 'cart__criterion': 'entropy'}</t>
  </si>
  <si>
    <t xml:space="preserve">{'cart__min_samples_split': np.int64(31), 'cart__max_depth': np.int64(10), 'cart__criterion': 'gini'}</t>
  </si>
  <si>
    <t xml:space="preserve">This is the best model that doesn’t use reviews_list and it performs pretty well with an f1 score of .8</t>
  </si>
  <si>
    <t xml:space="preserve">xgboost model on RangeIndex(start=0, stop=1, step=1)</t>
  </si>
  <si>
    <t xml:space="preserve">{'xgboost__n_estimators': np.int64(24), 'xgboost__max_depth': np.int64(4), 'xgboost__learning_rate': np.float64(0.23)}</t>
  </si>
  <si>
    <t xml:space="preserve">{'xgboost__n_estimators': np.int64(87), 'xgboost__max_depth': np.int64(1), 'xgboost__learning_rate': np.float64(0.01)}</t>
  </si>
  <si>
    <t xml:space="preserve">catboost model on RangeIndex(start=0, stop=1, step=1)</t>
  </si>
  <si>
    <t xml:space="preserve">{'catboost__learning_rate': np.float64(0.2), 'catboost__iterations': np.int64(2), 'catboost__depth': np.int64(2)}</t>
  </si>
  <si>
    <t xml:space="preserve">{'catboost__learning_rate': np.float64(0.25), 'catboost__iterations': np.int64(2), 'catboost__depth': np.int64(1)}</t>
  </si>
  <si>
    <t xml:space="preserve">knn model on RangeIndex(start=0, stop=2, step=1)</t>
  </si>
  <si>
    <t xml:space="preserve">{'knn__n_neighbors': np.int64(1)}</t>
  </si>
  <si>
    <t xml:space="preserve">This is the best model that uses only the reviews_list to classify and it has a score of .84, which is better than the best model that doesn’t use this feature.</t>
  </si>
  <si>
    <t xml:space="preserve">{'knn__n_neighbors': np.int64(3)}</t>
  </si>
  <si>
    <t xml:space="preserve">logistic model on RangeIndex(start=0, stop=2, step=1)</t>
  </si>
  <si>
    <t xml:space="preserve">cart model on RangeIndex(start=0, stop=2, step=1)</t>
  </si>
  <si>
    <t xml:space="preserve">{'cart__min_samples_split': np.int64(16), 'cart__max_depth': np.int64(75), 'cart__criterion': 'gini'}</t>
  </si>
  <si>
    <t xml:space="preserve">{'cart__min_samples_split': np.int64(3), 'cart__max_depth': np.int64(85), 'cart__criterion': 'gini'}</t>
  </si>
  <si>
    <t xml:space="preserve">xgboost model on RangeIndex(start=0, stop=2, step=1)</t>
  </si>
  <si>
    <t xml:space="preserve">{'xgboost__n_estimators': np.int64(59), 'xgboost__max_depth': np.int64(8), 'xgboost__learning_rate': np.float64(0.19)}</t>
  </si>
  <si>
    <t xml:space="preserve">{'xgboost__n_estimators': np.int64(62), 'xgboost__max_depth': np.int64(9), 'xgboost__learning_rate': np.float64(0.25)}</t>
  </si>
  <si>
    <t xml:space="preserve">catboost model on RangeIndex(start=0, stop=2, step=1)</t>
  </si>
  <si>
    <t xml:space="preserve">{'catboost__learning_rate': np.float64(0.23), 'catboost__iterations': np.int64(1), 'catboost__depth': np.int64(1)}</t>
  </si>
  <si>
    <t xml:space="preserve">{'catboost__learning_rate': np.float64(0.06999999999999999), 'catboost__iterations': np.int64(7), 'catboost__depth': np.int64(2)}</t>
  </si>
  <si>
    <t xml:space="preserve">knn model on Index([0, 0, 1], dtype='int64')</t>
  </si>
  <si>
    <t xml:space="preserve">This is the best model, it achieves an f1 score of .9 which is higher than all of the models I’ve trained before. It is a knn model that uses all of the data in the list.</t>
  </si>
  <si>
    <t xml:space="preserve">logistic model on Index([0, 0, 1], dtype='int64')</t>
  </si>
  <si>
    <t xml:space="preserve">{'logistic__penalty': 'l2', 'logistic__C': np.float64(0.8)}</t>
  </si>
  <si>
    <t xml:space="preserve">{'logistic__penalty': 'l2', 'logistic__C': np.float64(0.5)}</t>
  </si>
  <si>
    <t xml:space="preserve">cart model on Index([0, 0, 1], dtype='int64')</t>
  </si>
  <si>
    <t xml:space="preserve">{'cart__min_samples_split': np.int64(5), 'cart__max_depth': np.int64(37), 'cart__criterion': 'entropy'}</t>
  </si>
  <si>
    <t xml:space="preserve">{'cart__min_samples_split': np.int64(4), 'cart__max_depth': np.int64(74), 'cart__criterion': 'gini'}</t>
  </si>
  <si>
    <t xml:space="preserve">xgboost model on Index([0, 0, 1], dtype='int64')</t>
  </si>
  <si>
    <t xml:space="preserve">{'xgboost__n_estimators': np.int64(64), 'xgboost__max_depth': np.int64(8), 'xgboost__learning_rate': np.float64(0.13)}</t>
  </si>
  <si>
    <t xml:space="preserve">{'xgboost__n_estimators': np.int64(99), 'xgboost__max_depth': np.int64(7), 'xgboost__learning_rate': np.float64(0.12)}</t>
  </si>
  <si>
    <t xml:space="preserve">catboost model on Index([0, 0, 1], dtype='int64')</t>
  </si>
  <si>
    <t xml:space="preserve">{'catboost__learning_rate': np.float64(0.23), 'catboost__iterations': np.int64(7), 'catboost__depth': np.int64(8)}</t>
  </si>
  <si>
    <t xml:space="preserve">{'catboost__learning_rate': np.float64(0.13), 'catboost__iterations': np.int64(3), 'catboost__depth': np.int64(9)}</t>
  </si>
  <si>
    <t xml:space="preserve">ensemble model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</si>
</sst>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D7"/>
        <bgColor rgb="FFFFFFFF"/>
      </patternFill>
    </fill>
    <fill>
      <patternFill patternType="solid">
        <fgColor rgb="FFFFFFA6"/>
        <bgColor rgb="FFFFFFD7"/>
      </patternFill>
    </fill>
    <fill>
      <patternFill patternType="solid">
        <fgColor rgb="FF77BC65"/>
        <bgColor rgb="FF99CC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A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Relationship Id="rId6" Type="http://schemas.openxmlformats.org/officeDocument/2006/relationships/image" Target="../media/image7.png"/><Relationship Id="rId7" Type="http://schemas.openxmlformats.org/officeDocument/2006/relationships/image" Target="../media/image8.png"/><Relationship Id="rId8" Type="http://schemas.openxmlformats.org/officeDocument/2006/relationships/image" Target="../media/image9.png"/><Relationship Id="rId9" Type="http://schemas.openxmlformats.org/officeDocument/2006/relationships/image" Target="../media/image10.png"/><Relationship Id="rId10" Type="http://schemas.openxmlformats.org/officeDocument/2006/relationships/image" Target="../media/image11.png"/><Relationship Id="rId11" Type="http://schemas.openxmlformats.org/officeDocument/2006/relationships/image" Target="../media/image12.png"/><Relationship Id="rId12" Type="http://schemas.openxmlformats.org/officeDocument/2006/relationships/image" Target="../media/image13.png"/><Relationship Id="rId13" Type="http://schemas.openxmlformats.org/officeDocument/2006/relationships/image" Target="../media/image14.png"/><Relationship Id="rId14" Type="http://schemas.openxmlformats.org/officeDocument/2006/relationships/image" Target="../media/image15.png"/><Relationship Id="rId15" Type="http://schemas.openxmlformats.org/officeDocument/2006/relationships/image" Target="../media/image16.png"/><Relationship Id="rId16" Type="http://schemas.openxmlformats.org/officeDocument/2006/relationships/image" Target="../media/image17.png"/><Relationship Id="rId17" Type="http://schemas.openxmlformats.org/officeDocument/2006/relationships/image" Target="../media/image18.png"/><Relationship Id="rId18" Type="http://schemas.openxmlformats.org/officeDocument/2006/relationships/image" Target="../media/image19.png"/><Relationship Id="rId19" Type="http://schemas.openxmlformats.org/officeDocument/2006/relationships/image" Target="../media/image20.png"/><Relationship Id="rId20" Type="http://schemas.openxmlformats.org/officeDocument/2006/relationships/image" Target="../media/image21.png"/><Relationship Id="rId21" Type="http://schemas.openxmlformats.org/officeDocument/2006/relationships/image" Target="../media/image22.png"/><Relationship Id="rId22" Type="http://schemas.openxmlformats.org/officeDocument/2006/relationships/image" Target="../media/image23.png"/><Relationship Id="rId23" Type="http://schemas.openxmlformats.org/officeDocument/2006/relationships/image" Target="../media/image24.png"/><Relationship Id="rId24" Type="http://schemas.openxmlformats.org/officeDocument/2006/relationships/image" Target="../media/image25.png"/><Relationship Id="rId25" Type="http://schemas.openxmlformats.org/officeDocument/2006/relationships/image" Target="../media/image26.png"/><Relationship Id="rId26" Type="http://schemas.openxmlformats.org/officeDocument/2006/relationships/image" Target="../media/image27.png"/><Relationship Id="rId27" Type="http://schemas.openxmlformats.org/officeDocument/2006/relationships/image" Target="../media/image28.png"/><Relationship Id="rId28" Type="http://schemas.openxmlformats.org/officeDocument/2006/relationships/image" Target="../media/image29.png"/><Relationship Id="rId29" Type="http://schemas.openxmlformats.org/officeDocument/2006/relationships/image" Target="../media/image30.png"/><Relationship Id="rId30" Type="http://schemas.openxmlformats.org/officeDocument/2006/relationships/image" Target="../media/image31.png"/><Relationship Id="rId31" Type="http://schemas.openxmlformats.org/officeDocument/2006/relationships/image" Target="../media/image32.png"/><Relationship Id="rId32" Type="http://schemas.openxmlformats.org/officeDocument/2006/relationships/image" Target="../media/image33.png"/><Relationship Id="rId33" Type="http://schemas.openxmlformats.org/officeDocument/2006/relationships/image" Target="../media/image34.png"/><Relationship Id="rId34" Type="http://schemas.openxmlformats.org/officeDocument/2006/relationships/image" Target="../media/image35.png"/><Relationship Id="rId35" Type="http://schemas.openxmlformats.org/officeDocument/2006/relationships/image" Target="../media/image36.png"/><Relationship Id="rId36" Type="http://schemas.openxmlformats.org/officeDocument/2006/relationships/image" Target="../media/image37.png"/><Relationship Id="rId37" Type="http://schemas.openxmlformats.org/officeDocument/2006/relationships/image" Target="../media/image38.png"/><Relationship Id="rId38" Type="http://schemas.openxmlformats.org/officeDocument/2006/relationships/image" Target="../media/image39.png"/><Relationship Id="rId39" Type="http://schemas.openxmlformats.org/officeDocument/2006/relationships/image" Target="../media/image40.png"/><Relationship Id="rId40" Type="http://schemas.openxmlformats.org/officeDocument/2006/relationships/image" Target="../media/image41.png"/><Relationship Id="rId41" Type="http://schemas.openxmlformats.org/officeDocument/2006/relationships/image" Target="../media/image42.png"/><Relationship Id="rId42" Type="http://schemas.openxmlformats.org/officeDocument/2006/relationships/image" Target="../media/image43.png"/><Relationship Id="rId43" Type="http://schemas.openxmlformats.org/officeDocument/2006/relationships/image" Target="../media/image44.png"/><Relationship Id="rId44" Type="http://schemas.openxmlformats.org/officeDocument/2006/relationships/image" Target="../media/image45.png"/><Relationship Id="rId45" Type="http://schemas.openxmlformats.org/officeDocument/2006/relationships/image" Target="../media/image4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12</xdr:row>
      <xdr:rowOff>0</xdr:rowOff>
    </xdr:from>
    <xdr:to>
      <xdr:col>0</xdr:col>
      <xdr:colOff>6095520</xdr:colOff>
      <xdr:row>12</xdr:row>
      <xdr:rowOff>4570560</xdr:rowOff>
    </xdr:to>
    <xdr:pic>
      <xdr:nvPicPr>
        <xdr:cNvPr id="0" name="Image 11" descr="Picture"/>
        <xdr:cNvPicPr/>
      </xdr:nvPicPr>
      <xdr:blipFill>
        <a:blip r:embed="rId1"/>
        <a:stretch/>
      </xdr:blipFill>
      <xdr:spPr>
        <a:xfrm>
          <a:off x="0" y="45006840"/>
          <a:ext cx="609552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1213560</xdr:rowOff>
    </xdr:from>
    <xdr:to>
      <xdr:col>10</xdr:col>
      <xdr:colOff>6098760</xdr:colOff>
      <xdr:row>24</xdr:row>
      <xdr:rowOff>1102320</xdr:rowOff>
    </xdr:to>
    <xdr:pic>
      <xdr:nvPicPr>
        <xdr:cNvPr id="1" name="Image 13" descr="Picture"/>
        <xdr:cNvPicPr/>
      </xdr:nvPicPr>
      <xdr:blipFill>
        <a:blip r:embed="rId2"/>
        <a:stretch/>
      </xdr:blipFill>
      <xdr:spPr>
        <a:xfrm>
          <a:off x="12064320" y="9651240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1213560</xdr:rowOff>
    </xdr:from>
    <xdr:to>
      <xdr:col>10</xdr:col>
      <xdr:colOff>6098760</xdr:colOff>
      <xdr:row>24</xdr:row>
      <xdr:rowOff>1102320</xdr:rowOff>
    </xdr:to>
    <xdr:pic>
      <xdr:nvPicPr>
        <xdr:cNvPr id="2" name="Image 14" descr="Picture"/>
        <xdr:cNvPicPr/>
      </xdr:nvPicPr>
      <xdr:blipFill>
        <a:blip r:embed="rId3"/>
        <a:stretch/>
      </xdr:blipFill>
      <xdr:spPr>
        <a:xfrm>
          <a:off x="12064320" y="9651240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1213560</xdr:rowOff>
    </xdr:from>
    <xdr:to>
      <xdr:col>10</xdr:col>
      <xdr:colOff>6098760</xdr:colOff>
      <xdr:row>24</xdr:row>
      <xdr:rowOff>1102320</xdr:rowOff>
    </xdr:to>
    <xdr:pic>
      <xdr:nvPicPr>
        <xdr:cNvPr id="3" name="Image 15" descr="Picture"/>
        <xdr:cNvPicPr/>
      </xdr:nvPicPr>
      <xdr:blipFill>
        <a:blip r:embed="rId4"/>
        <a:stretch/>
      </xdr:blipFill>
      <xdr:spPr>
        <a:xfrm>
          <a:off x="12064320" y="9651240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1213920</xdr:rowOff>
    </xdr:from>
    <xdr:to>
      <xdr:col>10</xdr:col>
      <xdr:colOff>6098760</xdr:colOff>
      <xdr:row>24</xdr:row>
      <xdr:rowOff>1102680</xdr:rowOff>
    </xdr:to>
    <xdr:pic>
      <xdr:nvPicPr>
        <xdr:cNvPr id="4" name="Image 16" descr="Picture"/>
        <xdr:cNvPicPr/>
      </xdr:nvPicPr>
      <xdr:blipFill>
        <a:blip r:embed="rId5"/>
        <a:stretch/>
      </xdr:blipFill>
      <xdr:spPr>
        <a:xfrm>
          <a:off x="12064320" y="9651276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1213920</xdr:rowOff>
    </xdr:from>
    <xdr:to>
      <xdr:col>10</xdr:col>
      <xdr:colOff>6098760</xdr:colOff>
      <xdr:row>24</xdr:row>
      <xdr:rowOff>1102680</xdr:rowOff>
    </xdr:to>
    <xdr:pic>
      <xdr:nvPicPr>
        <xdr:cNvPr id="5" name="Image 17" descr="Picture"/>
        <xdr:cNvPicPr/>
      </xdr:nvPicPr>
      <xdr:blipFill>
        <a:blip r:embed="rId6"/>
        <a:stretch/>
      </xdr:blipFill>
      <xdr:spPr>
        <a:xfrm>
          <a:off x="12064320" y="9651276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1213920</xdr:rowOff>
    </xdr:from>
    <xdr:to>
      <xdr:col>10</xdr:col>
      <xdr:colOff>6098760</xdr:colOff>
      <xdr:row>24</xdr:row>
      <xdr:rowOff>1102680</xdr:rowOff>
    </xdr:to>
    <xdr:pic>
      <xdr:nvPicPr>
        <xdr:cNvPr id="6" name="Image 18" descr="Picture"/>
        <xdr:cNvPicPr/>
      </xdr:nvPicPr>
      <xdr:blipFill>
        <a:blip r:embed="rId7"/>
        <a:stretch/>
      </xdr:blipFill>
      <xdr:spPr>
        <a:xfrm>
          <a:off x="12064320" y="9651276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1214280</xdr:rowOff>
    </xdr:from>
    <xdr:to>
      <xdr:col>10</xdr:col>
      <xdr:colOff>6098760</xdr:colOff>
      <xdr:row>24</xdr:row>
      <xdr:rowOff>1103040</xdr:rowOff>
    </xdr:to>
    <xdr:pic>
      <xdr:nvPicPr>
        <xdr:cNvPr id="7" name="Image 19" descr="Picture"/>
        <xdr:cNvPicPr/>
      </xdr:nvPicPr>
      <xdr:blipFill>
        <a:blip r:embed="rId8"/>
        <a:stretch/>
      </xdr:blipFill>
      <xdr:spPr>
        <a:xfrm>
          <a:off x="12064320" y="9651312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1214280</xdr:rowOff>
    </xdr:from>
    <xdr:to>
      <xdr:col>10</xdr:col>
      <xdr:colOff>6098760</xdr:colOff>
      <xdr:row>24</xdr:row>
      <xdr:rowOff>1103040</xdr:rowOff>
    </xdr:to>
    <xdr:pic>
      <xdr:nvPicPr>
        <xdr:cNvPr id="8" name="Image 20" descr="Picture"/>
        <xdr:cNvPicPr/>
      </xdr:nvPicPr>
      <xdr:blipFill>
        <a:blip r:embed="rId9"/>
        <a:stretch/>
      </xdr:blipFill>
      <xdr:spPr>
        <a:xfrm>
          <a:off x="12064320" y="9651312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4320</xdr:colOff>
      <xdr:row>23</xdr:row>
      <xdr:rowOff>1214280</xdr:rowOff>
    </xdr:from>
    <xdr:to>
      <xdr:col>10</xdr:col>
      <xdr:colOff>6098760</xdr:colOff>
      <xdr:row>24</xdr:row>
      <xdr:rowOff>1103040</xdr:rowOff>
    </xdr:to>
    <xdr:pic>
      <xdr:nvPicPr>
        <xdr:cNvPr id="9" name="Image 21" descr="Picture"/>
        <xdr:cNvPicPr/>
      </xdr:nvPicPr>
      <xdr:blipFill>
        <a:blip r:embed="rId10"/>
        <a:stretch/>
      </xdr:blipFill>
      <xdr:spPr>
        <a:xfrm>
          <a:off x="12064320" y="9651312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360</xdr:colOff>
      <xdr:row>23</xdr:row>
      <xdr:rowOff>0</xdr:rowOff>
    </xdr:from>
    <xdr:to>
      <xdr:col>0</xdr:col>
      <xdr:colOff>6095880</xdr:colOff>
      <xdr:row>23</xdr:row>
      <xdr:rowOff>4570560</xdr:rowOff>
    </xdr:to>
    <xdr:pic>
      <xdr:nvPicPr>
        <xdr:cNvPr id="10" name="Image 22" descr="Picture"/>
        <xdr:cNvPicPr/>
      </xdr:nvPicPr>
      <xdr:blipFill>
        <a:blip r:embed="rId11"/>
        <a:stretch/>
      </xdr:blipFill>
      <xdr:spPr>
        <a:xfrm>
          <a:off x="360" y="95298840"/>
          <a:ext cx="609552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355</xdr:row>
      <xdr:rowOff>145440</xdr:rowOff>
    </xdr:from>
    <xdr:to>
      <xdr:col>10</xdr:col>
      <xdr:colOff>5840280</xdr:colOff>
      <xdr:row>384</xdr:row>
      <xdr:rowOff>1800</xdr:rowOff>
    </xdr:to>
    <xdr:pic>
      <xdr:nvPicPr>
        <xdr:cNvPr id="11" name="Image 1" descr="Picture"/>
        <xdr:cNvPicPr/>
      </xdr:nvPicPr>
      <xdr:blipFill>
        <a:blip r:embed="rId12"/>
        <a:stretch/>
      </xdr:blipFill>
      <xdr:spPr>
        <a:xfrm>
          <a:off x="9640080" y="20691864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379</xdr:row>
      <xdr:rowOff>145440</xdr:rowOff>
    </xdr:from>
    <xdr:to>
      <xdr:col>10</xdr:col>
      <xdr:colOff>5840280</xdr:colOff>
      <xdr:row>408</xdr:row>
      <xdr:rowOff>1800</xdr:rowOff>
    </xdr:to>
    <xdr:pic>
      <xdr:nvPicPr>
        <xdr:cNvPr id="12" name="Image 2" descr="Picture"/>
        <xdr:cNvPicPr/>
      </xdr:nvPicPr>
      <xdr:blipFill>
        <a:blip r:embed="rId13"/>
        <a:stretch/>
      </xdr:blipFill>
      <xdr:spPr>
        <a:xfrm>
          <a:off x="9640080" y="21081996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403</xdr:row>
      <xdr:rowOff>145440</xdr:rowOff>
    </xdr:from>
    <xdr:to>
      <xdr:col>10</xdr:col>
      <xdr:colOff>5840280</xdr:colOff>
      <xdr:row>432</xdr:row>
      <xdr:rowOff>1800</xdr:rowOff>
    </xdr:to>
    <xdr:pic>
      <xdr:nvPicPr>
        <xdr:cNvPr id="13" name="Image 3" descr="Picture"/>
        <xdr:cNvPicPr/>
      </xdr:nvPicPr>
      <xdr:blipFill>
        <a:blip r:embed="rId14"/>
        <a:stretch/>
      </xdr:blipFill>
      <xdr:spPr>
        <a:xfrm>
          <a:off x="9640080" y="21472164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427</xdr:row>
      <xdr:rowOff>145440</xdr:rowOff>
    </xdr:from>
    <xdr:to>
      <xdr:col>10</xdr:col>
      <xdr:colOff>5840280</xdr:colOff>
      <xdr:row>456</xdr:row>
      <xdr:rowOff>1800</xdr:rowOff>
    </xdr:to>
    <xdr:pic>
      <xdr:nvPicPr>
        <xdr:cNvPr id="14" name="Image 4" descr="Picture"/>
        <xdr:cNvPicPr/>
      </xdr:nvPicPr>
      <xdr:blipFill>
        <a:blip r:embed="rId15"/>
        <a:stretch/>
      </xdr:blipFill>
      <xdr:spPr>
        <a:xfrm>
          <a:off x="9640080" y="21862296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451</xdr:row>
      <xdr:rowOff>145440</xdr:rowOff>
    </xdr:from>
    <xdr:to>
      <xdr:col>10</xdr:col>
      <xdr:colOff>5840280</xdr:colOff>
      <xdr:row>480</xdr:row>
      <xdr:rowOff>1800</xdr:rowOff>
    </xdr:to>
    <xdr:pic>
      <xdr:nvPicPr>
        <xdr:cNvPr id="15" name="Image 5" descr="Picture"/>
        <xdr:cNvPicPr/>
      </xdr:nvPicPr>
      <xdr:blipFill>
        <a:blip r:embed="rId16"/>
        <a:stretch/>
      </xdr:blipFill>
      <xdr:spPr>
        <a:xfrm>
          <a:off x="9640080" y="22252428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475</xdr:row>
      <xdr:rowOff>145440</xdr:rowOff>
    </xdr:from>
    <xdr:to>
      <xdr:col>10</xdr:col>
      <xdr:colOff>5840280</xdr:colOff>
      <xdr:row>504</xdr:row>
      <xdr:rowOff>1800</xdr:rowOff>
    </xdr:to>
    <xdr:pic>
      <xdr:nvPicPr>
        <xdr:cNvPr id="16" name="Image 6" descr="Picture"/>
        <xdr:cNvPicPr/>
      </xdr:nvPicPr>
      <xdr:blipFill>
        <a:blip r:embed="rId17"/>
        <a:stretch/>
      </xdr:blipFill>
      <xdr:spPr>
        <a:xfrm>
          <a:off x="9640080" y="22642596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499</xdr:row>
      <xdr:rowOff>145440</xdr:rowOff>
    </xdr:from>
    <xdr:to>
      <xdr:col>10</xdr:col>
      <xdr:colOff>5840280</xdr:colOff>
      <xdr:row>528</xdr:row>
      <xdr:rowOff>1800</xdr:rowOff>
    </xdr:to>
    <xdr:pic>
      <xdr:nvPicPr>
        <xdr:cNvPr id="17" name="Image 7" descr="Picture"/>
        <xdr:cNvPicPr/>
      </xdr:nvPicPr>
      <xdr:blipFill>
        <a:blip r:embed="rId18"/>
        <a:stretch/>
      </xdr:blipFill>
      <xdr:spPr>
        <a:xfrm>
          <a:off x="9640080" y="23032728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523</xdr:row>
      <xdr:rowOff>145440</xdr:rowOff>
    </xdr:from>
    <xdr:to>
      <xdr:col>10</xdr:col>
      <xdr:colOff>5840280</xdr:colOff>
      <xdr:row>552</xdr:row>
      <xdr:rowOff>1800</xdr:rowOff>
    </xdr:to>
    <xdr:pic>
      <xdr:nvPicPr>
        <xdr:cNvPr id="18" name="Image 8" descr="Picture"/>
        <xdr:cNvPicPr/>
      </xdr:nvPicPr>
      <xdr:blipFill>
        <a:blip r:embed="rId19"/>
        <a:stretch/>
      </xdr:blipFill>
      <xdr:spPr>
        <a:xfrm>
          <a:off x="9640080" y="23422860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547</xdr:row>
      <xdr:rowOff>145440</xdr:rowOff>
    </xdr:from>
    <xdr:to>
      <xdr:col>10</xdr:col>
      <xdr:colOff>5840280</xdr:colOff>
      <xdr:row>576</xdr:row>
      <xdr:rowOff>1800</xdr:rowOff>
    </xdr:to>
    <xdr:pic>
      <xdr:nvPicPr>
        <xdr:cNvPr id="19" name="Image 9" descr="Picture"/>
        <xdr:cNvPicPr/>
      </xdr:nvPicPr>
      <xdr:blipFill>
        <a:blip r:embed="rId20"/>
        <a:stretch/>
      </xdr:blipFill>
      <xdr:spPr>
        <a:xfrm>
          <a:off x="9640080" y="23813028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92880</xdr:colOff>
      <xdr:row>571</xdr:row>
      <xdr:rowOff>145440</xdr:rowOff>
    </xdr:from>
    <xdr:to>
      <xdr:col>10</xdr:col>
      <xdr:colOff>5840280</xdr:colOff>
      <xdr:row>600</xdr:row>
      <xdr:rowOff>1800</xdr:rowOff>
    </xdr:to>
    <xdr:pic>
      <xdr:nvPicPr>
        <xdr:cNvPr id="20" name="Image 10" descr="Picture"/>
        <xdr:cNvPicPr/>
      </xdr:nvPicPr>
      <xdr:blipFill>
        <a:blip r:embed="rId21"/>
        <a:stretch/>
      </xdr:blipFill>
      <xdr:spPr>
        <a:xfrm>
          <a:off x="9640080" y="242031600"/>
          <a:ext cx="826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3960</xdr:colOff>
      <xdr:row>23</xdr:row>
      <xdr:rowOff>4676760</xdr:rowOff>
    </xdr:from>
    <xdr:to>
      <xdr:col>10</xdr:col>
      <xdr:colOff>6098400</xdr:colOff>
      <xdr:row>24</xdr:row>
      <xdr:rowOff>4565520</xdr:rowOff>
    </xdr:to>
    <xdr:pic>
      <xdr:nvPicPr>
        <xdr:cNvPr id="21" name="Image 23" descr="Picture"/>
        <xdr:cNvPicPr/>
      </xdr:nvPicPr>
      <xdr:blipFill>
        <a:blip r:embed="rId22"/>
        <a:stretch/>
      </xdr:blipFill>
      <xdr:spPr>
        <a:xfrm>
          <a:off x="12063960" y="9997560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3960</xdr:colOff>
      <xdr:row>34</xdr:row>
      <xdr:rowOff>1209240</xdr:rowOff>
    </xdr:from>
    <xdr:to>
      <xdr:col>10</xdr:col>
      <xdr:colOff>6098400</xdr:colOff>
      <xdr:row>35</xdr:row>
      <xdr:rowOff>1135800</xdr:rowOff>
    </xdr:to>
    <xdr:pic>
      <xdr:nvPicPr>
        <xdr:cNvPr id="22" name="Image 24" descr="Picture"/>
        <xdr:cNvPicPr/>
      </xdr:nvPicPr>
      <xdr:blipFill>
        <a:blip r:embed="rId23"/>
        <a:stretch/>
      </xdr:blipFill>
      <xdr:spPr>
        <a:xfrm>
          <a:off x="12063960" y="14690988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360</xdr:colOff>
      <xdr:row>34</xdr:row>
      <xdr:rowOff>720</xdr:rowOff>
    </xdr:from>
    <xdr:to>
      <xdr:col>0</xdr:col>
      <xdr:colOff>6105960</xdr:colOff>
      <xdr:row>34</xdr:row>
      <xdr:rowOff>4571280</xdr:rowOff>
    </xdr:to>
    <xdr:pic>
      <xdr:nvPicPr>
        <xdr:cNvPr id="23" name="Image 33" descr="Picture"/>
        <xdr:cNvPicPr/>
      </xdr:nvPicPr>
      <xdr:blipFill>
        <a:blip r:embed="rId24"/>
        <a:stretch/>
      </xdr:blipFill>
      <xdr:spPr>
        <a:xfrm>
          <a:off x="360" y="145701360"/>
          <a:ext cx="61056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7</xdr:row>
      <xdr:rowOff>4561920</xdr:rowOff>
    </xdr:from>
    <xdr:to>
      <xdr:col>10</xdr:col>
      <xdr:colOff>6100560</xdr:colOff>
      <xdr:row>8</xdr:row>
      <xdr:rowOff>4560480</xdr:rowOff>
    </xdr:to>
    <xdr:pic>
      <xdr:nvPicPr>
        <xdr:cNvPr id="24" name="Image 35" descr="Picture"/>
        <xdr:cNvPicPr/>
      </xdr:nvPicPr>
      <xdr:blipFill>
        <a:blip r:embed="rId25"/>
        <a:stretch/>
      </xdr:blipFill>
      <xdr:spPr>
        <a:xfrm>
          <a:off x="12060360" y="2670876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12</xdr:row>
      <xdr:rowOff>4505040</xdr:rowOff>
    </xdr:from>
    <xdr:to>
      <xdr:col>10</xdr:col>
      <xdr:colOff>6100560</xdr:colOff>
      <xdr:row>13</xdr:row>
      <xdr:rowOff>4503600</xdr:rowOff>
    </xdr:to>
    <xdr:pic>
      <xdr:nvPicPr>
        <xdr:cNvPr id="25" name="Image 36" descr="Picture"/>
        <xdr:cNvPicPr/>
      </xdr:nvPicPr>
      <xdr:blipFill>
        <a:blip r:embed="rId26"/>
        <a:stretch/>
      </xdr:blipFill>
      <xdr:spPr>
        <a:xfrm>
          <a:off x="12060360" y="4951188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12</xdr:row>
      <xdr:rowOff>1203480</xdr:rowOff>
    </xdr:from>
    <xdr:to>
      <xdr:col>10</xdr:col>
      <xdr:colOff>6100560</xdr:colOff>
      <xdr:row>13</xdr:row>
      <xdr:rowOff>1202040</xdr:rowOff>
    </xdr:to>
    <xdr:pic>
      <xdr:nvPicPr>
        <xdr:cNvPr id="26" name="Image 37" descr="Picture"/>
        <xdr:cNvPicPr/>
      </xdr:nvPicPr>
      <xdr:blipFill>
        <a:blip r:embed="rId27"/>
        <a:stretch/>
      </xdr:blipFill>
      <xdr:spPr>
        <a:xfrm>
          <a:off x="12060360" y="4621032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12</xdr:row>
      <xdr:rowOff>1204200</xdr:rowOff>
    </xdr:from>
    <xdr:to>
      <xdr:col>10</xdr:col>
      <xdr:colOff>6100560</xdr:colOff>
      <xdr:row>13</xdr:row>
      <xdr:rowOff>1202760</xdr:rowOff>
    </xdr:to>
    <xdr:pic>
      <xdr:nvPicPr>
        <xdr:cNvPr id="27" name="Image 38" descr="Picture"/>
        <xdr:cNvPicPr/>
      </xdr:nvPicPr>
      <xdr:blipFill>
        <a:blip r:embed="rId28"/>
        <a:stretch/>
      </xdr:blipFill>
      <xdr:spPr>
        <a:xfrm>
          <a:off x="12060360" y="4621104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12</xdr:row>
      <xdr:rowOff>1204560</xdr:rowOff>
    </xdr:from>
    <xdr:to>
      <xdr:col>10</xdr:col>
      <xdr:colOff>6100560</xdr:colOff>
      <xdr:row>13</xdr:row>
      <xdr:rowOff>1203120</xdr:rowOff>
    </xdr:to>
    <xdr:pic>
      <xdr:nvPicPr>
        <xdr:cNvPr id="28" name="Image 39" descr="Picture"/>
        <xdr:cNvPicPr/>
      </xdr:nvPicPr>
      <xdr:blipFill>
        <a:blip r:embed="rId29"/>
        <a:stretch/>
      </xdr:blipFill>
      <xdr:spPr>
        <a:xfrm>
          <a:off x="12060360" y="4621140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7</xdr:row>
      <xdr:rowOff>4563000</xdr:rowOff>
    </xdr:from>
    <xdr:to>
      <xdr:col>10</xdr:col>
      <xdr:colOff>6100560</xdr:colOff>
      <xdr:row>8</xdr:row>
      <xdr:rowOff>4561560</xdr:rowOff>
    </xdr:to>
    <xdr:pic>
      <xdr:nvPicPr>
        <xdr:cNvPr id="29" name="Image 40" descr="Picture"/>
        <xdr:cNvPicPr/>
      </xdr:nvPicPr>
      <xdr:blipFill>
        <a:blip r:embed="rId30"/>
        <a:stretch/>
      </xdr:blipFill>
      <xdr:spPr>
        <a:xfrm>
          <a:off x="12060360" y="2670984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13</xdr:row>
      <xdr:rowOff>1206000</xdr:rowOff>
    </xdr:from>
    <xdr:to>
      <xdr:col>10</xdr:col>
      <xdr:colOff>6100560</xdr:colOff>
      <xdr:row>14</xdr:row>
      <xdr:rowOff>1204560</xdr:rowOff>
    </xdr:to>
    <xdr:pic>
      <xdr:nvPicPr>
        <xdr:cNvPr id="30" name="Image 41" descr="Picture"/>
        <xdr:cNvPicPr/>
      </xdr:nvPicPr>
      <xdr:blipFill>
        <a:blip r:embed="rId31"/>
        <a:stretch/>
      </xdr:blipFill>
      <xdr:spPr>
        <a:xfrm>
          <a:off x="12060360" y="5078484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13</xdr:row>
      <xdr:rowOff>1206360</xdr:rowOff>
    </xdr:from>
    <xdr:to>
      <xdr:col>10</xdr:col>
      <xdr:colOff>6100560</xdr:colOff>
      <xdr:row>14</xdr:row>
      <xdr:rowOff>1204920</xdr:rowOff>
    </xdr:to>
    <xdr:pic>
      <xdr:nvPicPr>
        <xdr:cNvPr id="31" name="Image 42" descr="Picture"/>
        <xdr:cNvPicPr/>
      </xdr:nvPicPr>
      <xdr:blipFill>
        <a:blip r:embed="rId32"/>
        <a:stretch/>
      </xdr:blipFill>
      <xdr:spPr>
        <a:xfrm>
          <a:off x="12060360" y="5078520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13</xdr:row>
      <xdr:rowOff>1207080</xdr:rowOff>
    </xdr:from>
    <xdr:to>
      <xdr:col>10</xdr:col>
      <xdr:colOff>6100560</xdr:colOff>
      <xdr:row>14</xdr:row>
      <xdr:rowOff>1205640</xdr:rowOff>
    </xdr:to>
    <xdr:pic>
      <xdr:nvPicPr>
        <xdr:cNvPr id="32" name="Image 43" descr="Picture"/>
        <xdr:cNvPicPr/>
      </xdr:nvPicPr>
      <xdr:blipFill>
        <a:blip r:embed="rId33"/>
        <a:stretch/>
      </xdr:blipFill>
      <xdr:spPr>
        <a:xfrm>
          <a:off x="12060360" y="5078592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12</xdr:row>
      <xdr:rowOff>4565880</xdr:rowOff>
    </xdr:from>
    <xdr:to>
      <xdr:col>10</xdr:col>
      <xdr:colOff>6094800</xdr:colOff>
      <xdr:row>13</xdr:row>
      <xdr:rowOff>4564440</xdr:rowOff>
    </xdr:to>
    <xdr:pic>
      <xdr:nvPicPr>
        <xdr:cNvPr id="33" name="Image 12" descr="Picture"/>
        <xdr:cNvPicPr/>
      </xdr:nvPicPr>
      <xdr:blipFill>
        <a:blip r:embed="rId34"/>
        <a:stretch/>
      </xdr:blipFill>
      <xdr:spPr>
        <a:xfrm>
          <a:off x="12060360" y="4957272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162</xdr:row>
      <xdr:rowOff>-360</xdr:rowOff>
    </xdr:from>
    <xdr:to>
      <xdr:col>10</xdr:col>
      <xdr:colOff>6094800</xdr:colOff>
      <xdr:row>190</xdr:row>
      <xdr:rowOff>18720</xdr:rowOff>
    </xdr:to>
    <xdr:pic>
      <xdr:nvPicPr>
        <xdr:cNvPr id="34" name="Image 32" descr="Picture"/>
        <xdr:cNvPicPr/>
      </xdr:nvPicPr>
      <xdr:blipFill>
        <a:blip r:embed="rId35"/>
        <a:stretch/>
      </xdr:blipFill>
      <xdr:spPr>
        <a:xfrm>
          <a:off x="12060360" y="17539884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138</xdr:row>
      <xdr:rowOff>-360</xdr:rowOff>
    </xdr:from>
    <xdr:to>
      <xdr:col>10</xdr:col>
      <xdr:colOff>6094800</xdr:colOff>
      <xdr:row>166</xdr:row>
      <xdr:rowOff>18360</xdr:rowOff>
    </xdr:to>
    <xdr:pic>
      <xdr:nvPicPr>
        <xdr:cNvPr id="35" name="Image 31" descr="Picture"/>
        <xdr:cNvPicPr/>
      </xdr:nvPicPr>
      <xdr:blipFill>
        <a:blip r:embed="rId36"/>
        <a:stretch/>
      </xdr:blipFill>
      <xdr:spPr>
        <a:xfrm>
          <a:off x="12060360" y="17149716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114</xdr:row>
      <xdr:rowOff>26640</xdr:rowOff>
    </xdr:from>
    <xdr:to>
      <xdr:col>10</xdr:col>
      <xdr:colOff>6094800</xdr:colOff>
      <xdr:row>142</xdr:row>
      <xdr:rowOff>45360</xdr:rowOff>
    </xdr:to>
    <xdr:pic>
      <xdr:nvPicPr>
        <xdr:cNvPr id="36" name="Image 30" descr="Picture"/>
        <xdr:cNvPicPr/>
      </xdr:nvPicPr>
      <xdr:blipFill>
        <a:blip r:embed="rId37"/>
        <a:stretch/>
      </xdr:blipFill>
      <xdr:spPr>
        <a:xfrm>
          <a:off x="12060360" y="16762284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90</xdr:row>
      <xdr:rowOff>26640</xdr:rowOff>
    </xdr:from>
    <xdr:to>
      <xdr:col>10</xdr:col>
      <xdr:colOff>6094800</xdr:colOff>
      <xdr:row>118</xdr:row>
      <xdr:rowOff>45720</xdr:rowOff>
    </xdr:to>
    <xdr:pic>
      <xdr:nvPicPr>
        <xdr:cNvPr id="37" name="Image 29" descr="Picture"/>
        <xdr:cNvPicPr/>
      </xdr:nvPicPr>
      <xdr:blipFill>
        <a:blip r:embed="rId38"/>
        <a:stretch/>
      </xdr:blipFill>
      <xdr:spPr>
        <a:xfrm>
          <a:off x="12060360" y="16372152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66</xdr:row>
      <xdr:rowOff>-360</xdr:rowOff>
    </xdr:from>
    <xdr:to>
      <xdr:col>10</xdr:col>
      <xdr:colOff>6094800</xdr:colOff>
      <xdr:row>94</xdr:row>
      <xdr:rowOff>18360</xdr:rowOff>
    </xdr:to>
    <xdr:pic>
      <xdr:nvPicPr>
        <xdr:cNvPr id="38" name="Image 28" descr="Picture"/>
        <xdr:cNvPicPr/>
      </xdr:nvPicPr>
      <xdr:blipFill>
        <a:blip r:embed="rId39"/>
        <a:stretch/>
      </xdr:blipFill>
      <xdr:spPr>
        <a:xfrm>
          <a:off x="12060360" y="15979284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42</xdr:row>
      <xdr:rowOff>-360</xdr:rowOff>
    </xdr:from>
    <xdr:to>
      <xdr:col>10</xdr:col>
      <xdr:colOff>6094800</xdr:colOff>
      <xdr:row>70</xdr:row>
      <xdr:rowOff>18360</xdr:rowOff>
    </xdr:to>
    <xdr:pic>
      <xdr:nvPicPr>
        <xdr:cNvPr id="39" name="Image 27" descr="Picture"/>
        <xdr:cNvPicPr/>
      </xdr:nvPicPr>
      <xdr:blipFill>
        <a:blip r:embed="rId40"/>
        <a:stretch/>
      </xdr:blipFill>
      <xdr:spPr>
        <a:xfrm>
          <a:off x="12060360" y="15589152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35</xdr:row>
      <xdr:rowOff>1142640</xdr:rowOff>
    </xdr:from>
    <xdr:to>
      <xdr:col>10</xdr:col>
      <xdr:colOff>6094800</xdr:colOff>
      <xdr:row>43</xdr:row>
      <xdr:rowOff>3240</xdr:rowOff>
    </xdr:to>
    <xdr:pic>
      <xdr:nvPicPr>
        <xdr:cNvPr id="40" name="Image 26" descr="Picture"/>
        <xdr:cNvPicPr/>
      </xdr:nvPicPr>
      <xdr:blipFill>
        <a:blip r:embed="rId41"/>
        <a:stretch/>
      </xdr:blipFill>
      <xdr:spPr>
        <a:xfrm>
          <a:off x="12060360" y="15148728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34</xdr:row>
      <xdr:rowOff>1214280</xdr:rowOff>
    </xdr:from>
    <xdr:to>
      <xdr:col>10</xdr:col>
      <xdr:colOff>6094800</xdr:colOff>
      <xdr:row>35</xdr:row>
      <xdr:rowOff>1140840</xdr:rowOff>
    </xdr:to>
    <xdr:pic>
      <xdr:nvPicPr>
        <xdr:cNvPr id="41" name="Image 25" descr="Picture"/>
        <xdr:cNvPicPr/>
      </xdr:nvPicPr>
      <xdr:blipFill>
        <a:blip r:embed="rId42"/>
        <a:stretch/>
      </xdr:blipFill>
      <xdr:spPr>
        <a:xfrm>
          <a:off x="12060360" y="146914920"/>
          <a:ext cx="609444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360</xdr:colOff>
      <xdr:row>1</xdr:row>
      <xdr:rowOff>3425400</xdr:rowOff>
    </xdr:from>
    <xdr:to>
      <xdr:col>10</xdr:col>
      <xdr:colOff>6100560</xdr:colOff>
      <xdr:row>2</xdr:row>
      <xdr:rowOff>4565880</xdr:rowOff>
    </xdr:to>
    <xdr:pic>
      <xdr:nvPicPr>
        <xdr:cNvPr id="42" name="Image 34" descr="Picture"/>
        <xdr:cNvPicPr/>
      </xdr:nvPicPr>
      <xdr:blipFill>
        <a:blip r:embed="rId43"/>
        <a:stretch/>
      </xdr:blipFill>
      <xdr:spPr>
        <a:xfrm>
          <a:off x="12060360" y="3588120"/>
          <a:ext cx="6100200" cy="45705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9</xdr:col>
      <xdr:colOff>788400</xdr:colOff>
      <xdr:row>8</xdr:row>
      <xdr:rowOff>237240</xdr:rowOff>
    </xdr:from>
    <xdr:to>
      <xdr:col>11</xdr:col>
      <xdr:colOff>166680</xdr:colOff>
      <xdr:row>9</xdr:row>
      <xdr:rowOff>236880</xdr:rowOff>
    </xdr:to>
    <xdr:pic>
      <xdr:nvPicPr>
        <xdr:cNvPr id="43" name="Image 1" descr="Picture"/>
        <xdr:cNvPicPr/>
      </xdr:nvPicPr>
      <xdr:blipFill>
        <a:blip r:embed="rId44"/>
        <a:stretch/>
      </xdr:blipFill>
      <xdr:spPr>
        <a:xfrm>
          <a:off x="10335600" y="26956080"/>
          <a:ext cx="8271360" cy="45716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10</xdr:col>
      <xdr:colOff>10080</xdr:colOff>
      <xdr:row>34</xdr:row>
      <xdr:rowOff>4641120</xdr:rowOff>
    </xdr:from>
    <xdr:to>
      <xdr:col>10</xdr:col>
      <xdr:colOff>6105600</xdr:colOff>
      <xdr:row>35</xdr:row>
      <xdr:rowOff>4568760</xdr:rowOff>
    </xdr:to>
    <xdr:pic>
      <xdr:nvPicPr>
        <xdr:cNvPr id="44" name="Image 44" descr="Picture"/>
        <xdr:cNvPicPr/>
      </xdr:nvPicPr>
      <xdr:blipFill>
        <a:blip r:embed="rId45"/>
        <a:stretch/>
      </xdr:blipFill>
      <xdr:spPr>
        <a:xfrm>
          <a:off x="12070080" y="150341760"/>
          <a:ext cx="6095520" cy="4571640"/>
        </a:xfrm>
        <a:prstGeom prst="rect">
          <a:avLst/>
        </a:prstGeom>
        <a:ln w="0">
          <a:noFill/>
        </a:ln>
      </xdr:spPr>
    </xdr:pic>
    <xdr:clientData/>
  </xdr:twoCellAnchor>
</xdr:wsDr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40" activeCellId="0" sqref="K140"/>
    </sheetView>
  </sheetViews>
  <sheetFormatPr defaultColWidth="11.58984375" defaultRowHeight="12.8" zeroHeight="false" outlineLevelRow="0" outlineLevelCol="0"/>
  <cols>
    <col collapsed="false" customWidth="true" hidden="false" outlineLevel="0" max="1" min="1" style="0" width="89.34"/>
    <col collapsed="false" customWidth="true" hidden="false" outlineLevel="0" max="2" min="2" style="0" width="7.54"/>
    <col collapsed="false" customWidth="true" hidden="false" outlineLevel="0" max="3" min="3" style="0" width="18.52"/>
    <col collapsed="false" customWidth="true" hidden="true" outlineLevel="0" max="4" min="4" style="0" width="102.16"/>
    <col collapsed="false" customWidth="true" hidden="true" outlineLevel="0" max="5" min="5" style="0" width="19.91"/>
    <col collapsed="false" customWidth="true" hidden="true" outlineLevel="0" max="6" min="6" style="0" width="36.17"/>
    <col collapsed="false" customWidth="true" hidden="true" outlineLevel="0" max="7" min="7" style="0" width="19.91"/>
    <col collapsed="false" customWidth="true" hidden="true" outlineLevel="0" max="8" min="8" style="0" width="33.39"/>
    <col collapsed="false" customWidth="true" hidden="false" outlineLevel="0" max="9" min="9" style="0" width="19.91"/>
    <col collapsed="false" customWidth="true" hidden="false" outlineLevel="0" max="10" min="10" style="0" width="35.61"/>
    <col collapsed="false" customWidth="true" hidden="false" outlineLevel="0" max="11" min="11" style="0" width="90.43"/>
    <col collapsed="false" customWidth="true" hidden="false" outlineLevel="0" max="12" min="12" style="0" width="10.73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</row>
    <row r="2" customFormat="false" ht="270.1" hidden="false" customHeight="false" outlineLevel="0" collapsed="false">
      <c r="A2" s="0" t="s">
        <v>12</v>
      </c>
      <c r="E2" s="0" t="n">
        <v>0.391438018446546</v>
      </c>
      <c r="F2" s="0" t="n">
        <v>0</v>
      </c>
      <c r="G2" s="0" t="n">
        <v>1</v>
      </c>
      <c r="H2" s="0" t="n">
        <v>0</v>
      </c>
      <c r="I2" s="0" t="n">
        <v>0.562638095635136</v>
      </c>
      <c r="J2" s="0" t="n">
        <v>0</v>
      </c>
      <c r="L2" s="1" t="s">
        <v>13</v>
      </c>
    </row>
    <row r="3" customFormat="false" ht="367.15" hidden="false" customHeight="true" outlineLevel="0" collapsed="false">
      <c r="A3" s="0" t="s">
        <v>14</v>
      </c>
      <c r="B3" s="2" t="b">
        <f aca="false">TRUE()</f>
        <v>1</v>
      </c>
      <c r="C3" s="0" t="n">
        <v>1</v>
      </c>
      <c r="D3" s="0" t="s">
        <v>15</v>
      </c>
      <c r="E3" s="0" t="n">
        <v>0.811914893617021</v>
      </c>
      <c r="F3" s="0" t="n">
        <v>107.418506980792</v>
      </c>
      <c r="G3" s="0" t="n">
        <v>0.78531445505433</v>
      </c>
      <c r="H3" s="0" t="n">
        <v>-21.468554494567</v>
      </c>
      <c r="I3" s="0" t="n">
        <v>0.798393170976651</v>
      </c>
      <c r="J3" s="0" t="n">
        <v>41.9017263797934</v>
      </c>
    </row>
    <row r="4" customFormat="false" ht="13.8" hidden="false" customHeight="false" outlineLevel="0" collapsed="false">
      <c r="A4" s="0" t="s">
        <v>14</v>
      </c>
      <c r="B4" s="2" t="b">
        <f aca="false">FALSE()</f>
        <v>0</v>
      </c>
      <c r="C4" s="0" t="n">
        <v>1</v>
      </c>
      <c r="D4" s="0" t="s">
        <v>15</v>
      </c>
      <c r="E4" s="0" t="n">
        <v>0.811914893617021</v>
      </c>
      <c r="F4" s="0" t="n">
        <v>107.418506980792</v>
      </c>
      <c r="G4" s="0" t="n">
        <v>0.78531445505433</v>
      </c>
      <c r="H4" s="0" t="n">
        <v>-21.468554494567</v>
      </c>
      <c r="I4" s="0" t="n">
        <v>0.798393170976651</v>
      </c>
      <c r="J4" s="0" t="n">
        <v>41.9017263797934</v>
      </c>
      <c r="L4" s="1"/>
    </row>
    <row r="5" customFormat="false" ht="360" hidden="false" customHeight="true" outlineLevel="0" collapsed="false">
      <c r="A5" s="0" t="s">
        <v>16</v>
      </c>
      <c r="B5" s="2" t="b">
        <f aca="false">TRUE()</f>
        <v>1</v>
      </c>
      <c r="C5" s="0" t="n">
        <v>1</v>
      </c>
      <c r="D5" s="0" t="s">
        <v>17</v>
      </c>
      <c r="E5" s="0" t="n">
        <v>0.856562275878556</v>
      </c>
      <c r="F5" s="0" t="n">
        <v>118.824497241708</v>
      </c>
      <c r="G5" s="0" t="n">
        <v>0.589891340138294</v>
      </c>
      <c r="H5" s="0" t="n">
        <v>-41.0108659861706</v>
      </c>
      <c r="I5" s="0" t="n">
        <v>0.698644827922394</v>
      </c>
      <c r="J5" s="0" t="n">
        <v>24.1730400664973</v>
      </c>
    </row>
    <row r="6" customFormat="false" ht="360" hidden="false" customHeight="true" outlineLevel="0" collapsed="false">
      <c r="A6" s="0" t="s">
        <v>16</v>
      </c>
      <c r="B6" s="2" t="b">
        <f aca="false">FALSE()</f>
        <v>0</v>
      </c>
      <c r="C6" s="0" t="n">
        <v>1</v>
      </c>
      <c r="D6" s="0" t="s">
        <v>18</v>
      </c>
      <c r="E6" s="0" t="n">
        <v>0.856803044719315</v>
      </c>
      <c r="F6" s="0" t="n">
        <v>118.886006044995</v>
      </c>
      <c r="G6" s="0" t="n">
        <v>0.593019427066184</v>
      </c>
      <c r="H6" s="0" t="n">
        <v>-40.6980572933816</v>
      </c>
      <c r="I6" s="0" t="n">
        <v>0.700914574820004</v>
      </c>
      <c r="J6" s="0" t="n">
        <v>24.576451587192</v>
      </c>
    </row>
    <row r="7" customFormat="false" ht="360" hidden="false" customHeight="true" outlineLevel="0" collapsed="false">
      <c r="A7" s="0" t="s">
        <v>19</v>
      </c>
      <c r="B7" s="2" t="b">
        <f aca="false">TRUE()</f>
        <v>1</v>
      </c>
      <c r="C7" s="0" t="n">
        <v>1</v>
      </c>
      <c r="D7" s="0" t="s">
        <v>20</v>
      </c>
      <c r="E7" s="0" t="n">
        <v>0.757607398568019</v>
      </c>
      <c r="F7" s="0" t="n">
        <v>93.5446642548026</v>
      </c>
      <c r="G7" s="0" t="n">
        <v>0.836187026671057</v>
      </c>
      <c r="H7" s="0" t="n">
        <v>-16.3812973328943</v>
      </c>
      <c r="I7" s="0" t="n">
        <v>0.79496008765065</v>
      </c>
      <c r="J7" s="0" t="n">
        <v>41.2915502554544</v>
      </c>
    </row>
    <row r="8" s="6" customFormat="true" ht="360" hidden="false" customHeight="true" outlineLevel="0" collapsed="false">
      <c r="A8" s="3" t="s">
        <v>19</v>
      </c>
      <c r="B8" s="4" t="b">
        <f aca="false">FALSE()</f>
        <v>0</v>
      </c>
      <c r="C8" s="3" t="n">
        <v>1</v>
      </c>
      <c r="D8" s="3" t="s">
        <v>21</v>
      </c>
      <c r="E8" s="3" t="n">
        <v>0.769791824950615</v>
      </c>
      <c r="F8" s="3" t="n">
        <v>96.6573987896215</v>
      </c>
      <c r="G8" s="3" t="n">
        <v>0.834046756667764</v>
      </c>
      <c r="H8" s="3" t="n">
        <v>-16.5953243332236</v>
      </c>
      <c r="I8" s="3" t="n">
        <v>0.800632161201106</v>
      </c>
      <c r="J8" s="3" t="n">
        <v>42.2996713895297</v>
      </c>
      <c r="K8" s="3"/>
      <c r="L8" s="5" t="s">
        <v>22</v>
      </c>
    </row>
    <row r="9" customFormat="false" ht="360" hidden="false" customHeight="true" outlineLevel="0" collapsed="false">
      <c r="A9" s="0" t="s">
        <v>23</v>
      </c>
      <c r="B9" s="2" t="b">
        <f aca="false">TRUE()</f>
        <v>1</v>
      </c>
      <c r="C9" s="0" t="n">
        <v>1</v>
      </c>
      <c r="D9" s="0" t="s">
        <v>24</v>
      </c>
      <c r="E9" s="0" t="n">
        <v>0.759178780158849</v>
      </c>
      <c r="F9" s="0" t="n">
        <v>93.9461024178779</v>
      </c>
      <c r="G9" s="0" t="n">
        <v>0.834046756667764</v>
      </c>
      <c r="H9" s="0" t="n">
        <v>-16.5953243332236</v>
      </c>
      <c r="I9" s="0" t="n">
        <v>0.794853691064564</v>
      </c>
      <c r="J9" s="0" t="n">
        <v>41.2726399493605</v>
      </c>
    </row>
    <row r="10" customFormat="false" ht="360" hidden="false" customHeight="true" outlineLevel="0" collapsed="false">
      <c r="A10" s="0" t="s">
        <v>23</v>
      </c>
      <c r="B10" s="2" t="b">
        <f aca="false">FALSE()</f>
        <v>0</v>
      </c>
      <c r="C10" s="0" t="n">
        <v>1</v>
      </c>
      <c r="D10" s="0" t="s">
        <v>25</v>
      </c>
      <c r="E10" s="0" t="n">
        <v>0.758254893171971</v>
      </c>
      <c r="F10" s="0" t="n">
        <v>93.710078592051</v>
      </c>
      <c r="G10" s="0" t="n">
        <v>0.835528482054659</v>
      </c>
      <c r="H10" s="0" t="n">
        <v>-16.4471517945341</v>
      </c>
      <c r="I10" s="0" t="n">
        <v>0.795018406830109</v>
      </c>
      <c r="J10" s="0" t="n">
        <v>41.3019155648623</v>
      </c>
    </row>
    <row r="11" customFormat="false" ht="360" hidden="false" customHeight="true" outlineLevel="0" collapsed="false">
      <c r="A11" s="0" t="s">
        <v>26</v>
      </c>
      <c r="B11" s="2" t="b">
        <f aca="false">TRUE()</f>
        <v>1</v>
      </c>
      <c r="C11" s="0" t="n">
        <v>1</v>
      </c>
      <c r="D11" s="0" t="s">
        <v>27</v>
      </c>
      <c r="E11" s="0" t="n">
        <v>0.75541382379116</v>
      </c>
      <c r="F11" s="0" t="n">
        <v>92.9842754643717</v>
      </c>
      <c r="G11" s="0" t="n">
        <v>0.838491932828449</v>
      </c>
      <c r="H11" s="0" t="n">
        <v>-16.1508067171551</v>
      </c>
      <c r="I11" s="0" t="n">
        <v>0.794787765293383</v>
      </c>
      <c r="J11" s="0" t="n">
        <v>41.2609226888884</v>
      </c>
    </row>
    <row r="12" customFormat="false" ht="360" hidden="false" customHeight="true" outlineLevel="0" collapsed="false">
      <c r="A12" s="0" t="s">
        <v>26</v>
      </c>
      <c r="B12" s="2" t="b">
        <f aca="false">FALSE()</f>
        <v>0</v>
      </c>
      <c r="C12" s="0" t="n">
        <v>1</v>
      </c>
      <c r="D12" s="0" t="s">
        <v>28</v>
      </c>
      <c r="E12" s="0" t="n">
        <v>0.735463079725375</v>
      </c>
      <c r="F12" s="0" t="n">
        <v>87.8874930555089</v>
      </c>
      <c r="G12" s="0" t="n">
        <v>0.864175172867962</v>
      </c>
      <c r="H12" s="0" t="n">
        <v>-13.5824827132038</v>
      </c>
      <c r="I12" s="0" t="n">
        <v>0.794640829611687</v>
      </c>
      <c r="J12" s="0" t="n">
        <v>41.23480720136</v>
      </c>
    </row>
    <row r="13" customFormat="false" ht="360" hidden="false" customHeight="true" outlineLevel="0" collapsed="false"/>
    <row r="14" s="10" customFormat="true" ht="360" hidden="false" customHeight="true" outlineLevel="0" collapsed="false">
      <c r="A14" s="7" t="s">
        <v>29</v>
      </c>
      <c r="B14" s="8" t="b">
        <f aca="false">TRUE()</f>
        <v>1</v>
      </c>
      <c r="C14" s="7" t="n">
        <v>2</v>
      </c>
      <c r="D14" s="7" t="s">
        <v>30</v>
      </c>
      <c r="E14" s="7" t="n">
        <v>0.844985816786251</v>
      </c>
      <c r="F14" s="7" t="n">
        <v>115.86707906903</v>
      </c>
      <c r="G14" s="7" t="n">
        <v>0.833717484359565</v>
      </c>
      <c r="H14" s="7" t="n">
        <v>-16.6282515640435</v>
      </c>
      <c r="I14" s="7" t="n">
        <v>0.839313831109638</v>
      </c>
      <c r="J14" s="7" t="n">
        <v>49.1747248579348</v>
      </c>
      <c r="K14" s="7"/>
      <c r="L14" s="9" t="s">
        <v>31</v>
      </c>
    </row>
    <row r="15" customFormat="false" ht="360" hidden="false" customHeight="true" outlineLevel="0" collapsed="false">
      <c r="A15" s="0" t="s">
        <v>29</v>
      </c>
      <c r="B15" s="11" t="b">
        <f aca="false">FALSE()</f>
        <v>0</v>
      </c>
      <c r="C15" s="0" t="n">
        <v>2</v>
      </c>
      <c r="D15" s="0" t="s">
        <v>32</v>
      </c>
      <c r="E15" s="0" t="n">
        <v>0.787809274127478</v>
      </c>
      <c r="F15" s="0" t="n">
        <v>101.260285665139</v>
      </c>
      <c r="G15" s="0" t="n">
        <v>0.791570628910109</v>
      </c>
      <c r="H15" s="0" t="n">
        <v>-20.8429371089891</v>
      </c>
      <c r="I15" s="0" t="n">
        <v>0.789685472612302</v>
      </c>
      <c r="J15" s="0" t="n">
        <v>40.3540710695857</v>
      </c>
    </row>
    <row r="16" customFormat="false" ht="360" hidden="false" customHeight="true" outlineLevel="0" collapsed="false">
      <c r="A16" s="0" t="s">
        <v>33</v>
      </c>
      <c r="B16" s="0" t="b">
        <f aca="false">TRUE()</f>
        <v>1</v>
      </c>
      <c r="C16" s="0" t="n">
        <v>2</v>
      </c>
      <c r="D16" s="0" t="s">
        <v>17</v>
      </c>
      <c r="E16" s="0" t="n">
        <v>0.6410998552822</v>
      </c>
      <c r="F16" s="0" t="n">
        <v>63.7806817606675</v>
      </c>
      <c r="G16" s="0" t="n">
        <v>0.583470530128416</v>
      </c>
      <c r="H16" s="0" t="n">
        <v>-41.6529469871584</v>
      </c>
      <c r="I16" s="0" t="n">
        <v>0.610929150146527</v>
      </c>
      <c r="J16" s="0" t="n">
        <v>8.58296920987497</v>
      </c>
    </row>
    <row r="17" customFormat="false" ht="360" hidden="false" customHeight="true" outlineLevel="0" collapsed="false">
      <c r="A17" s="0" t="s">
        <v>33</v>
      </c>
      <c r="B17" s="0" t="b">
        <f aca="false">FALSE()</f>
        <v>0</v>
      </c>
      <c r="C17" s="0" t="n">
        <v>2</v>
      </c>
      <c r="D17" s="0" t="s">
        <v>17</v>
      </c>
      <c r="E17" s="0" t="n">
        <v>0.641137063190295</v>
      </c>
      <c r="F17" s="0" t="n">
        <v>63.7901872012077</v>
      </c>
      <c r="G17" s="0" t="n">
        <v>0.582976621666118</v>
      </c>
      <c r="H17" s="0" t="n">
        <v>-41.7023378333882</v>
      </c>
      <c r="I17" s="0" t="n">
        <v>0.610675174614124</v>
      </c>
      <c r="J17" s="0" t="n">
        <v>8.53782908616627</v>
      </c>
    </row>
    <row r="18" customFormat="false" ht="360" hidden="false" customHeight="true" outlineLevel="0" collapsed="false">
      <c r="A18" s="0" t="s">
        <v>34</v>
      </c>
      <c r="B18" s="0" t="b">
        <f aca="false">TRUE()</f>
        <v>1</v>
      </c>
      <c r="C18" s="0" t="n">
        <v>2</v>
      </c>
      <c r="D18" s="0" t="s">
        <v>35</v>
      </c>
      <c r="E18" s="0" t="n">
        <v>0.784435146443515</v>
      </c>
      <c r="F18" s="0" t="n">
        <v>100.398303045936</v>
      </c>
      <c r="G18" s="0" t="n">
        <v>0.771649654264076</v>
      </c>
      <c r="H18" s="0" t="n">
        <v>-22.8350345735924</v>
      </c>
      <c r="I18" s="0" t="n">
        <v>0.777989874678396</v>
      </c>
      <c r="J18" s="0" t="n">
        <v>38.2753639886685</v>
      </c>
    </row>
    <row r="19" customFormat="false" ht="360" hidden="false" customHeight="true" outlineLevel="0" collapsed="false">
      <c r="A19" s="0" t="s">
        <v>34</v>
      </c>
      <c r="B19" s="0" t="b">
        <f aca="false">FALSE()</f>
        <v>0</v>
      </c>
      <c r="C19" s="0" t="n">
        <v>2</v>
      </c>
      <c r="D19" s="0" t="s">
        <v>36</v>
      </c>
      <c r="E19" s="0" t="n">
        <v>0.842377260981912</v>
      </c>
      <c r="F19" s="0" t="n">
        <v>115.200675786414</v>
      </c>
      <c r="G19" s="0" t="n">
        <v>0.805070793546263</v>
      </c>
      <c r="H19" s="0" t="n">
        <v>-19.4929206453737</v>
      </c>
      <c r="I19" s="0" t="n">
        <v>0.823301624715885</v>
      </c>
      <c r="J19" s="0" t="n">
        <v>46.328809069798</v>
      </c>
    </row>
    <row r="20" customFormat="false" ht="360" hidden="false" customHeight="true" outlineLevel="0" collapsed="false">
      <c r="A20" s="0" t="s">
        <v>37</v>
      </c>
      <c r="B20" s="0" t="b">
        <f aca="false">TRUE()</f>
        <v>1</v>
      </c>
      <c r="C20" s="0" t="n">
        <v>2</v>
      </c>
      <c r="D20" s="0" t="s">
        <v>38</v>
      </c>
      <c r="E20" s="0" t="n">
        <v>0.718396892655367</v>
      </c>
      <c r="F20" s="0" t="n">
        <v>83.5276234808221</v>
      </c>
      <c r="G20" s="0" t="n">
        <v>0.669904511030622</v>
      </c>
      <c r="H20" s="0" t="n">
        <v>-33.0095488969378</v>
      </c>
      <c r="I20" s="0" t="n">
        <v>0.693303799625149</v>
      </c>
      <c r="J20" s="0" t="n">
        <v>23.2237569769446</v>
      </c>
    </row>
    <row r="21" customFormat="false" ht="360" hidden="false" customHeight="true" outlineLevel="0" collapsed="false">
      <c r="A21" s="0" t="s">
        <v>37</v>
      </c>
      <c r="B21" s="0" t="b">
        <f aca="false">FALSE()</f>
        <v>0</v>
      </c>
      <c r="C21" s="0" t="n">
        <v>2</v>
      </c>
      <c r="D21" s="0" t="s">
        <v>39</v>
      </c>
      <c r="E21" s="0" t="n">
        <v>0.731108757062147</v>
      </c>
      <c r="F21" s="0" t="n">
        <v>86.7751017041249</v>
      </c>
      <c r="G21" s="0" t="n">
        <v>0.681758314125782</v>
      </c>
      <c r="H21" s="0" t="n">
        <v>-31.8241685874218</v>
      </c>
      <c r="I21" s="0" t="n">
        <v>0.705571647640143</v>
      </c>
      <c r="J21" s="0" t="n">
        <v>25.4041724358633</v>
      </c>
    </row>
    <row r="22" customFormat="false" ht="360" hidden="false" customHeight="true" outlineLevel="0" collapsed="false">
      <c r="A22" s="0" t="s">
        <v>40</v>
      </c>
      <c r="B22" s="0" t="b">
        <f aca="false">TRUE()</f>
        <v>1</v>
      </c>
      <c r="C22" s="0" t="n">
        <v>2</v>
      </c>
      <c r="D22" s="0" t="s">
        <v>41</v>
      </c>
      <c r="E22" s="0" t="n">
        <v>0.59445913963525</v>
      </c>
      <c r="F22" s="0" t="n">
        <v>51.8654580345595</v>
      </c>
      <c r="G22" s="0" t="n">
        <v>0.70299637800461</v>
      </c>
      <c r="H22" s="0" t="n">
        <v>-29.700362199539</v>
      </c>
      <c r="I22" s="0" t="n">
        <v>0.644187976163536</v>
      </c>
      <c r="J22" s="0" t="n">
        <v>14.4941981641579</v>
      </c>
    </row>
    <row r="23" customFormat="false" ht="360" hidden="false" customHeight="true" outlineLevel="0" collapsed="false">
      <c r="A23" s="0" t="s">
        <v>40</v>
      </c>
      <c r="B23" s="0" t="b">
        <f aca="false">FALSE()</f>
        <v>0</v>
      </c>
      <c r="C23" s="0" t="n">
        <v>2</v>
      </c>
      <c r="D23" s="0" t="s">
        <v>42</v>
      </c>
      <c r="E23" s="0" t="n">
        <v>0.617216687422167</v>
      </c>
      <c r="F23" s="0" t="n">
        <v>57.679289781724</v>
      </c>
      <c r="G23" s="0" t="n">
        <v>0.652782351004281</v>
      </c>
      <c r="H23" s="0" t="n">
        <v>-34.7217648995719</v>
      </c>
      <c r="I23" s="0" t="n">
        <v>0.634501520243239</v>
      </c>
      <c r="J23" s="0" t="n">
        <v>12.7725842180985</v>
      </c>
    </row>
    <row r="24" customFormat="false" ht="368.65" hidden="false" customHeight="true" outlineLevel="0" collapsed="false"/>
    <row r="25" customFormat="false" ht="360" hidden="false" customHeight="true" outlineLevel="0" collapsed="false">
      <c r="A25" s="0" t="s">
        <v>43</v>
      </c>
      <c r="B25" s="0" t="b">
        <f aca="false">TRUE()</f>
        <v>1</v>
      </c>
      <c r="C25" s="0" t="n">
        <v>3</v>
      </c>
      <c r="D25" s="0" t="s">
        <v>32</v>
      </c>
      <c r="E25" s="0" t="n">
        <v>0.879181228157763</v>
      </c>
      <c r="F25" s="0" t="n">
        <v>124.602922231946</v>
      </c>
      <c r="G25" s="0" t="n">
        <v>0.869772802107343</v>
      </c>
      <c r="H25" s="0" t="n">
        <v>-13.0227197892657</v>
      </c>
      <c r="I25" s="0" t="n">
        <v>0.874451709012662</v>
      </c>
      <c r="J25" s="0" t="n">
        <v>55.4199254896764</v>
      </c>
    </row>
    <row r="26" s="15" customFormat="true" ht="360" hidden="false" customHeight="true" outlineLevel="0" collapsed="false">
      <c r="A26" s="12" t="s">
        <v>43</v>
      </c>
      <c r="B26" s="13" t="b">
        <f aca="false">FALSE()</f>
        <v>0</v>
      </c>
      <c r="C26" s="12" t="n">
        <v>3</v>
      </c>
      <c r="D26" s="12" t="s">
        <v>30</v>
      </c>
      <c r="E26" s="12" t="n">
        <v>0.903735395754484</v>
      </c>
      <c r="F26" s="12" t="n">
        <v>130.875733364131</v>
      </c>
      <c r="G26" s="12" t="n">
        <v>0.904181758314126</v>
      </c>
      <c r="H26" s="12" t="n">
        <v>-9.58182416858743</v>
      </c>
      <c r="I26" s="12" t="n">
        <v>0.903958521932351</v>
      </c>
      <c r="J26" s="12" t="n">
        <v>60.6642936098941</v>
      </c>
      <c r="K26" s="12"/>
      <c r="L26" s="14" t="s">
        <v>44</v>
      </c>
    </row>
    <row r="27" customFormat="false" ht="360" hidden="false" customHeight="true" outlineLevel="0" collapsed="false">
      <c r="A27" s="0" t="s">
        <v>45</v>
      </c>
      <c r="B27" s="11" t="b">
        <f aca="false">TRUE()</f>
        <v>1</v>
      </c>
      <c r="C27" s="0" t="n">
        <v>3</v>
      </c>
      <c r="D27" s="0" t="s">
        <v>46</v>
      </c>
      <c r="E27" s="0" t="n">
        <v>0.842844202898551</v>
      </c>
      <c r="F27" s="0" t="n">
        <v>115.319964637939</v>
      </c>
      <c r="G27" s="0" t="n">
        <v>0.612775765558117</v>
      </c>
      <c r="H27" s="0" t="n">
        <v>-38.7224234441884</v>
      </c>
      <c r="I27" s="0" t="n">
        <v>0.709628217349857</v>
      </c>
      <c r="J27" s="0" t="n">
        <v>26.1251633785642</v>
      </c>
    </row>
    <row r="28" customFormat="false" ht="360" hidden="false" customHeight="true" outlineLevel="0" collapsed="false">
      <c r="A28" s="0" t="s">
        <v>45</v>
      </c>
      <c r="B28" s="0" t="b">
        <f aca="false">FALSE()</f>
        <v>0</v>
      </c>
      <c r="C28" s="0" t="n">
        <v>3</v>
      </c>
      <c r="D28" s="0" t="s">
        <v>47</v>
      </c>
      <c r="E28" s="0" t="n">
        <v>0.843403484951346</v>
      </c>
      <c r="F28" s="0" t="n">
        <v>115.46284346586</v>
      </c>
      <c r="G28" s="0" t="n">
        <v>0.613598946328614</v>
      </c>
      <c r="H28" s="0" t="n">
        <v>-38.6401053671386</v>
      </c>
      <c r="I28" s="0" t="n">
        <v>0.710378347469742</v>
      </c>
      <c r="J28" s="0" t="n">
        <v>26.2584871128978</v>
      </c>
    </row>
    <row r="29" customFormat="false" ht="360" hidden="false" customHeight="true" outlineLevel="0" collapsed="false">
      <c r="A29" s="0" t="s">
        <v>48</v>
      </c>
      <c r="B29" s="0" t="b">
        <f aca="false">TRUE()</f>
        <v>1</v>
      </c>
      <c r="C29" s="0" t="n">
        <v>3</v>
      </c>
      <c r="D29" s="0" t="s">
        <v>49</v>
      </c>
      <c r="E29" s="0" t="n">
        <v>0.905783738474434</v>
      </c>
      <c r="F29" s="0" t="n">
        <v>131.39901996978</v>
      </c>
      <c r="G29" s="0" t="n">
        <v>0.889529140599275</v>
      </c>
      <c r="H29" s="0" t="n">
        <v>-11.0470859400725</v>
      </c>
      <c r="I29" s="0" t="n">
        <v>0.897582855718913</v>
      </c>
      <c r="J29" s="0" t="n">
        <v>59.5311200365262</v>
      </c>
    </row>
    <row r="30" customFormat="false" ht="360" hidden="false" customHeight="true" outlineLevel="0" collapsed="false">
      <c r="A30" s="0" t="s">
        <v>48</v>
      </c>
      <c r="B30" s="0" t="b">
        <f aca="false">FALSE()</f>
        <v>0</v>
      </c>
      <c r="C30" s="0" t="n">
        <v>3</v>
      </c>
      <c r="D30" s="0" t="s">
        <v>50</v>
      </c>
      <c r="E30" s="0" t="n">
        <v>0.903360642033105</v>
      </c>
      <c r="F30" s="0" t="n">
        <v>130.779995672921</v>
      </c>
      <c r="G30" s="0" t="n">
        <v>0.889529140599275</v>
      </c>
      <c r="H30" s="0" t="n">
        <v>-11.0470859400725</v>
      </c>
      <c r="I30" s="0" t="n">
        <v>0.896391538780589</v>
      </c>
      <c r="J30" s="0" t="n">
        <v>59.3193823409157</v>
      </c>
    </row>
    <row r="31" customFormat="false" ht="360" hidden="false" customHeight="true" outlineLevel="0" collapsed="false">
      <c r="A31" s="0" t="s">
        <v>51</v>
      </c>
      <c r="B31" s="0" t="b">
        <f aca="false">TRUE()</f>
        <v>1</v>
      </c>
      <c r="C31" s="0" t="n">
        <v>3</v>
      </c>
      <c r="D31" s="0" t="s">
        <v>52</v>
      </c>
      <c r="E31" s="0" t="n">
        <v>0.818097733929397</v>
      </c>
      <c r="F31" s="0" t="n">
        <v>108.99802660357</v>
      </c>
      <c r="G31" s="0" t="n">
        <v>0.873724069805729</v>
      </c>
      <c r="H31" s="0" t="n">
        <v>-12.6275930194271</v>
      </c>
      <c r="I31" s="0" t="n">
        <v>0.844996417482684</v>
      </c>
      <c r="J31" s="0" t="n">
        <v>50.1847144795284</v>
      </c>
    </row>
    <row r="32" customFormat="false" ht="360" hidden="false" customHeight="true" outlineLevel="0" collapsed="false">
      <c r="A32" s="0" t="s">
        <v>51</v>
      </c>
      <c r="B32" s="0" t="b">
        <f aca="false">FALSE()</f>
        <v>0</v>
      </c>
      <c r="C32" s="0" t="n">
        <v>3</v>
      </c>
      <c r="D32" s="0" t="s">
        <v>53</v>
      </c>
      <c r="E32" s="0" t="n">
        <v>0.82033793210355</v>
      </c>
      <c r="F32" s="0" t="n">
        <v>109.570326193437</v>
      </c>
      <c r="G32" s="0" t="n">
        <v>0.871254527494238</v>
      </c>
      <c r="H32" s="0" t="n">
        <v>-12.8745472505762</v>
      </c>
      <c r="I32" s="0" t="n">
        <v>0.84502994011976</v>
      </c>
      <c r="J32" s="0" t="n">
        <v>50.1906725967153</v>
      </c>
    </row>
    <row r="33" customFormat="false" ht="360" hidden="false" customHeight="true" outlineLevel="0" collapsed="false">
      <c r="A33" s="0" t="s">
        <v>54</v>
      </c>
      <c r="B33" s="0" t="b">
        <f aca="false">TRUE()</f>
        <v>1</v>
      </c>
      <c r="C33" s="0" t="n">
        <v>3</v>
      </c>
      <c r="D33" s="0" t="s">
        <v>55</v>
      </c>
      <c r="E33" s="0" t="n">
        <v>0.77784624865198</v>
      </c>
      <c r="F33" s="0" t="n">
        <v>98.7150486145744</v>
      </c>
      <c r="G33" s="0" t="n">
        <v>0.831247942048074</v>
      </c>
      <c r="H33" s="0" t="n">
        <v>-16.8752057951926</v>
      </c>
      <c r="I33" s="0" t="n">
        <v>0.803660962992439</v>
      </c>
      <c r="J33" s="0" t="n">
        <v>42.8379928815919</v>
      </c>
    </row>
    <row r="34" customFormat="false" ht="360" hidden="false" customHeight="true" outlineLevel="0" collapsed="false">
      <c r="A34" s="0" t="s">
        <v>54</v>
      </c>
      <c r="B34" s="0" t="b">
        <f aca="false">FALSE()</f>
        <v>0</v>
      </c>
      <c r="C34" s="0" t="n">
        <v>3</v>
      </c>
      <c r="D34" s="0" t="s">
        <v>56</v>
      </c>
      <c r="E34" s="0" t="n">
        <v>0.754607459004499</v>
      </c>
      <c r="F34" s="0" t="n">
        <v>92.7782748337071</v>
      </c>
      <c r="G34" s="0" t="n">
        <v>0.856108001317089</v>
      </c>
      <c r="H34" s="0" t="n">
        <v>-14.3891998682911</v>
      </c>
      <c r="I34" s="0" t="n">
        <v>0.802159660624759</v>
      </c>
      <c r="J34" s="0" t="n">
        <v>42.5711601912129</v>
      </c>
    </row>
    <row r="35" customFormat="false" ht="365.65" hidden="false" customHeight="true" outlineLevel="0" collapsed="false"/>
    <row r="36" customFormat="false" ht="360" hidden="false" customHeight="true" outlineLevel="0" collapsed="false">
      <c r="A36" s="0" t="s">
        <v>57</v>
      </c>
      <c r="B36" s="2" t="b">
        <f aca="false">TRUE()</f>
        <v>1</v>
      </c>
      <c r="C36" s="0" t="n">
        <v>3</v>
      </c>
      <c r="E36" s="0" t="n">
        <v>0.937867148666968</v>
      </c>
      <c r="F36" s="0" t="n">
        <v>139.595313809571</v>
      </c>
      <c r="G36" s="0" t="n">
        <v>0.683404675666776</v>
      </c>
      <c r="H36" s="0" t="n">
        <v>-31.6595324333224</v>
      </c>
      <c r="I36" s="0" t="n">
        <v>0.790666666666667</v>
      </c>
      <c r="J36" s="0" t="n">
        <v>40.5284627543963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4573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2025-12-04T09:29:02Z</dcterms:created>
  <dc:creator/>
  <dc:description/>
  <dc:language>en-US</dc:language>
  <cp:lastModifiedBy/>
  <dcterms:modified xsi:type="dcterms:W3CDTF">2025-12-12T13:24:28Z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