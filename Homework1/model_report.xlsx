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Report" sheetId="1" r:id="rId4"/>
  </sheets>
  <definedNames/>
  <calcPr/>
</workbook>
</file>

<file path=xl/sharedStrings.xml><?xml version="1.0" encoding="utf-8"?>
<sst xmlns="http://schemas.openxmlformats.org/spreadsheetml/2006/main" count="78" uniqueCount="58">
  <si>
    <t>Model</t>
  </si>
  <si>
    <t>Scaling</t>
  </si>
  <si>
    <t>Number of variables</t>
  </si>
  <si>
    <t>Hyperparams</t>
  </si>
  <si>
    <t>Precision</t>
  </si>
  <si>
    <t>Precision increase from base model (in %)</t>
  </si>
  <si>
    <t>Recall</t>
  </si>
  <si>
    <t>Recall increase from base model (in %)</t>
  </si>
  <si>
    <t>F1 Score</t>
  </si>
  <si>
    <t>F1 score increase from base model (in %)</t>
  </si>
  <si>
    <t>Confusion matrix</t>
  </si>
  <si>
    <t>Comments</t>
  </si>
  <si>
    <t>Base model</t>
  </si>
  <si>
    <t>For every one of the models I have tried applying scaling and PCA, because otherwise there were too many feature columns to even be able to train the models. I have tried training knn, cart, logistic, adaboost and xgboost models.</t>
  </si>
  <si>
    <t>knn model on RangeIndex(start=0, stop=1, step=1)</t>
  </si>
  <si>
    <t>{'knn__n_neighbors': np.int64(11)}</t>
  </si>
  <si>
    <t>logistic model on RangeIndex(start=0, stop=1, step=1)</t>
  </si>
  <si>
    <t>{'logistic__penalty': 'l2', 'logistic__C': np.float64(0.9)}</t>
  </si>
  <si>
    <t>{'logistic__penalty': 'l2', 'logistic__C': np.float64(0.1)}</t>
  </si>
  <si>
    <t>cart model on RangeIndex(start=0, stop=1, step=1)</t>
  </si>
  <si>
    <t>{'cart__min_samples_split': np.int64(5), 'cart__max_depth': np.int64(3), 'cart__criterion': 'entropy'}</t>
  </si>
  <si>
    <t>{'cart__min_samples_split': np.int64(31), 'cart__max_depth': np.int64(10), 'cart__criterion': 'gini'}</t>
  </si>
  <si>
    <t>This is the best model that doesn’t use reviews_list and it performs pretty well with an f1 score of .8</t>
  </si>
  <si>
    <t>xgboost model on RangeIndex(start=0, stop=1, step=1)</t>
  </si>
  <si>
    <t>{'xgboost__n_estimators': np.int64(24), 'xgboost__max_depth': np.int64(4), 'xgboost__learning_rate': np.float64(0.23)}</t>
  </si>
  <si>
    <t>{'xgboost__n_estimators': np.int64(87), 'xgboost__max_depth': np.int64(1), 'xgboost__learning_rate': np.float64(0.01)}</t>
  </si>
  <si>
    <t>catboost model on RangeIndex(start=0, stop=1, step=1)</t>
  </si>
  <si>
    <t>{'catboost__learning_rate': np.float64(0.2), 'catboost__iterations': np.int64(2), 'catboost__depth': np.int64(2)}</t>
  </si>
  <si>
    <t>{'catboost__learning_rate': np.float64(0.25), 'catboost__iterations': np.int64(2), 'catboost__depth': np.int64(1)}</t>
  </si>
  <si>
    <t>knn model on RangeIndex(start=0, stop=2, step=1)</t>
  </si>
  <si>
    <t>{'knn__n_neighbors': np.int64(1)}</t>
  </si>
  <si>
    <t>This is the best model that uses only the reviews_list to classify and it has a score of .84, which is better than the best model that doesn’t use this feature.</t>
  </si>
  <si>
    <t>{'knn__n_neighbors': np.int64(3)}</t>
  </si>
  <si>
    <t>logistic model on RangeIndex(start=0, stop=2, step=1)</t>
  </si>
  <si>
    <t>cart model on RangeIndex(start=0, stop=2, step=1)</t>
  </si>
  <si>
    <t>{'cart__min_samples_split': np.int64(16), 'cart__max_depth': np.int64(75), 'cart__criterion': 'gini'}</t>
  </si>
  <si>
    <t>{'cart__min_samples_split': np.int64(3), 'cart__max_depth': np.int64(85), 'cart__criterion': 'gini'}</t>
  </si>
  <si>
    <t>xgboost model on RangeIndex(start=0, stop=2, step=1)</t>
  </si>
  <si>
    <t>{'xgboost__n_estimators': np.int64(59), 'xgboost__max_depth': np.int64(8), 'xgboost__learning_rate': np.float64(0.19)}</t>
  </si>
  <si>
    <t>{'xgboost__n_estimators': np.int64(62), 'xgboost__max_depth': np.int64(9), 'xgboost__learning_rate': np.float64(0.25)}</t>
  </si>
  <si>
    <t>catboost model on RangeIndex(start=0, stop=2, step=1)</t>
  </si>
  <si>
    <t>{'catboost__learning_rate': np.float64(0.23), 'catboost__iterations': np.int64(1), 'catboost__depth': np.int64(1)}</t>
  </si>
  <si>
    <t>{'catboost__learning_rate': np.float64(0.06999999999999999), 'catboost__iterations': np.int64(7), 'catboost__depth': np.int64(2)}</t>
  </si>
  <si>
    <t>knn model on Index([0, 0, 1], dtype='int64')</t>
  </si>
  <si>
    <t>This is the best model, it achieves an f1 score of .9 which is higher than all of the models I’ve trained before. It is a knn model that uses all of the data in the list.</t>
  </si>
  <si>
    <t>logistic model on Index([0, 0, 1], dtype='int64')</t>
  </si>
  <si>
    <t>{'logistic__penalty': 'l2', 'logistic__C': np.float64(0.8)}</t>
  </si>
  <si>
    <t>{'logistic__penalty': 'l2', 'logistic__C': np.float64(0.5)}</t>
  </si>
  <si>
    <t>cart model on Index([0, 0, 1], dtype='int64')</t>
  </si>
  <si>
    <t>{'cart__min_samples_split': np.int64(5), 'cart__max_depth': np.int64(37), 'cart__criterion': 'entropy'}</t>
  </si>
  <si>
    <t>{'cart__min_samples_split': np.int64(4), 'cart__max_depth': np.int64(74), 'cart__criterion': 'gini'}</t>
  </si>
  <si>
    <t>xgboost model on Index([0, 0, 1], dtype='int64')</t>
  </si>
  <si>
    <t>{'xgboost__n_estimators': np.int64(64), 'xgboost__max_depth': np.int64(8), 'xgboost__learning_rate': np.float64(0.13)}</t>
  </si>
  <si>
    <t>{'xgboost__n_estimators': np.int64(99), 'xgboost__max_depth': np.int64(7), 'xgboost__learning_rate': np.float64(0.12)}</t>
  </si>
  <si>
    <t>catboost model on Index([0, 0, 1], dtype='int64')</t>
  </si>
  <si>
    <t>{'catboost__learning_rate': np.float64(0.23), 'catboost__iterations': np.int64(7), 'catboost__depth': np.int64(8)}</t>
  </si>
  <si>
    <t>{'catboost__learning_rate': np.float64(0.13), 'catboost__iterations': np.int64(3), 'catboost__depth': np.int64(9)}</t>
  </si>
  <si>
    <t>ensemble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</si>
</sst>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0.0"/>
      <color theme="1"/>
      <name val="Arial"/>
    </font>
    <font>
      <b/>
      <u/>
      <sz val="11.0"/>
      <color rgb="FF000000"/>
      <name val="Calibri"/>
    </font>
    <font>
      <b/>
      <u/>
      <sz val="10.0"/>
      <color theme="1"/>
      <name val="Arial"/>
    </font>
    <font>
      <b/>
      <u/>
      <sz val="11.0"/>
      <color rgb="FF000000"/>
      <name val="Calibri"/>
    </font>
    <font>
      <u/>
      <color theme="1"/>
      <name val="Arial"/>
      <scheme val="minor"/>
    </font>
    <font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shrinkToFit="0" vertical="top" wrapText="1"/>
    </xf>
    <xf borderId="0" fillId="0" fontId="10" numFmtId="0" xfId="0" applyFont="1"/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3.png"/><Relationship Id="rId11" Type="http://schemas.openxmlformats.org/officeDocument/2006/relationships/image" Target="../media/image11.png"/><Relationship Id="rId22" Type="http://schemas.openxmlformats.org/officeDocument/2006/relationships/image" Target="../media/image36.png"/><Relationship Id="rId10" Type="http://schemas.openxmlformats.org/officeDocument/2006/relationships/image" Target="../media/image2.png"/><Relationship Id="rId21" Type="http://schemas.openxmlformats.org/officeDocument/2006/relationships/image" Target="../media/image25.png"/><Relationship Id="rId13" Type="http://schemas.openxmlformats.org/officeDocument/2006/relationships/image" Target="../media/image9.png"/><Relationship Id="rId24" Type="http://schemas.openxmlformats.org/officeDocument/2006/relationships/image" Target="../media/image31.png"/><Relationship Id="rId12" Type="http://schemas.openxmlformats.org/officeDocument/2006/relationships/image" Target="../media/image3.png"/><Relationship Id="rId23" Type="http://schemas.openxmlformats.org/officeDocument/2006/relationships/image" Target="../media/image27.png"/><Relationship Id="rId1" Type="http://schemas.openxmlformats.org/officeDocument/2006/relationships/image" Target="../media/image13.png"/><Relationship Id="rId2" Type="http://schemas.openxmlformats.org/officeDocument/2006/relationships/image" Target="../media/image8.png"/><Relationship Id="rId3" Type="http://schemas.openxmlformats.org/officeDocument/2006/relationships/image" Target="../media/image32.png"/><Relationship Id="rId4" Type="http://schemas.openxmlformats.org/officeDocument/2006/relationships/image" Target="../media/image14.png"/><Relationship Id="rId9" Type="http://schemas.openxmlformats.org/officeDocument/2006/relationships/image" Target="../media/image10.png"/><Relationship Id="rId15" Type="http://schemas.openxmlformats.org/officeDocument/2006/relationships/image" Target="../media/image37.png"/><Relationship Id="rId14" Type="http://schemas.openxmlformats.org/officeDocument/2006/relationships/image" Target="../media/image1.png"/><Relationship Id="rId17" Type="http://schemas.openxmlformats.org/officeDocument/2006/relationships/image" Target="../media/image17.png"/><Relationship Id="rId16" Type="http://schemas.openxmlformats.org/officeDocument/2006/relationships/image" Target="../media/image15.png"/><Relationship Id="rId5" Type="http://schemas.openxmlformats.org/officeDocument/2006/relationships/image" Target="../media/image26.png"/><Relationship Id="rId19" Type="http://schemas.openxmlformats.org/officeDocument/2006/relationships/image" Target="../media/image29.png"/><Relationship Id="rId6" Type="http://schemas.openxmlformats.org/officeDocument/2006/relationships/image" Target="../media/image22.png"/><Relationship Id="rId18" Type="http://schemas.openxmlformats.org/officeDocument/2006/relationships/image" Target="../media/image16.png"/><Relationship Id="rId7" Type="http://schemas.openxmlformats.org/officeDocument/2006/relationships/image" Target="../media/image12.png"/><Relationship Id="rId8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6086475" cy="4562475"/>
    <xdr:pic>
      <xdr:nvPicPr>
        <xdr:cNvPr descr="Picture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355</xdr:row>
      <xdr:rowOff>142875</xdr:rowOff>
    </xdr:from>
    <xdr:ext cx="8458200" cy="4800600"/>
    <xdr:pic>
      <xdr:nvPicPr>
        <xdr:cNvPr descr="Picture"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379</xdr:row>
      <xdr:rowOff>142875</xdr:rowOff>
    </xdr:from>
    <xdr:ext cx="8458200" cy="4800600"/>
    <xdr:pic>
      <xdr:nvPicPr>
        <xdr:cNvPr descr="Picture"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403</xdr:row>
      <xdr:rowOff>142875</xdr:rowOff>
    </xdr:from>
    <xdr:ext cx="8458200" cy="4800600"/>
    <xdr:pic>
      <xdr:nvPicPr>
        <xdr:cNvPr descr="Picture" id="0" name="image3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427</xdr:row>
      <xdr:rowOff>142875</xdr:rowOff>
    </xdr:from>
    <xdr:ext cx="8458200" cy="4800600"/>
    <xdr:pic>
      <xdr:nvPicPr>
        <xdr:cNvPr descr="Picture" id="0" name="image3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451</xdr:row>
      <xdr:rowOff>142875</xdr:rowOff>
    </xdr:from>
    <xdr:ext cx="8458200" cy="4800600"/>
    <xdr:pic>
      <xdr:nvPicPr>
        <xdr:cNvPr descr="Picture"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475</xdr:row>
      <xdr:rowOff>142875</xdr:rowOff>
    </xdr:from>
    <xdr:ext cx="8458200" cy="4800600"/>
    <xdr:pic>
      <xdr:nvPicPr>
        <xdr:cNvPr descr="Picture"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499</xdr:row>
      <xdr:rowOff>142875</xdr:rowOff>
    </xdr:from>
    <xdr:ext cx="8458200" cy="4800600"/>
    <xdr:pic>
      <xdr:nvPicPr>
        <xdr:cNvPr descr="Picture"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523</xdr:row>
      <xdr:rowOff>142875</xdr:rowOff>
    </xdr:from>
    <xdr:ext cx="8458200" cy="4800600"/>
    <xdr:pic>
      <xdr:nvPicPr>
        <xdr:cNvPr descr="Picture"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547</xdr:row>
      <xdr:rowOff>142875</xdr:rowOff>
    </xdr:from>
    <xdr:ext cx="8458200" cy="4800600"/>
    <xdr:pic>
      <xdr:nvPicPr>
        <xdr:cNvPr descr="Picture"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571</xdr:row>
      <xdr:rowOff>142875</xdr:rowOff>
    </xdr:from>
    <xdr:ext cx="8458200" cy="4800600"/>
    <xdr:pic>
      <xdr:nvPicPr>
        <xdr:cNvPr descr="Picture"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6210300" cy="465772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5610225" cy="42100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6096000" cy="4572000"/>
    <xdr:pic>
      <xdr:nvPicPr>
        <xdr:cNvPr id="0" name="image2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6096000" cy="4572000"/>
    <xdr:pic>
      <xdr:nvPicPr>
        <xdr:cNvPr id="0" name="image2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6096000" cy="457200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6096000" cy="45720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6096000" cy="4572000"/>
    <xdr:pic>
      <xdr:nvPicPr>
        <xdr:cNvPr id="0" name="image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6096000" cy="4572000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6096000" cy="457200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6096000" cy="4572000"/>
    <xdr:pic>
      <xdr:nvPicPr>
        <xdr:cNvPr id="0" name="image2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6096000" cy="4572000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6096000" cy="4572000"/>
    <xdr:pic>
      <xdr:nvPicPr>
        <xdr:cNvPr id="0" name="image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6096000" cy="457200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</xdr:row>
      <xdr:rowOff>0</xdr:rowOff>
    </xdr:from>
    <xdr:ext cx="6096000" cy="4572000"/>
    <xdr:pic>
      <xdr:nvPicPr>
        <xdr:cNvPr id="0" name="image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6096000" cy="4572000"/>
    <xdr:pic>
      <xdr:nvPicPr>
        <xdr:cNvPr id="0" name="image1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6096000" cy="4572000"/>
    <xdr:pic>
      <xdr:nvPicPr>
        <xdr:cNvPr id="0" name="image37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6096000" cy="4572000"/>
    <xdr:pic>
      <xdr:nvPicPr>
        <xdr:cNvPr id="0" name="image3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6096000" cy="4572000"/>
    <xdr:pic>
      <xdr:nvPicPr>
        <xdr:cNvPr id="0" name="image1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6096000" cy="4572000"/>
    <xdr:pic>
      <xdr:nvPicPr>
        <xdr:cNvPr id="0" name="image2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6096000" cy="4572000"/>
    <xdr:pic>
      <xdr:nvPicPr>
        <xdr:cNvPr id="0" name="image17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6096000" cy="4572000"/>
    <xdr:pic>
      <xdr:nvPicPr>
        <xdr:cNvPr id="0" name="image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6096000" cy="4572000"/>
    <xdr:pic>
      <xdr:nvPicPr>
        <xdr:cNvPr id="0" name="image1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6096000" cy="4572000"/>
    <xdr:pic>
      <xdr:nvPicPr>
        <xdr:cNvPr id="0" name="image2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6096000" cy="4572000"/>
    <xdr:pic>
      <xdr:nvPicPr>
        <xdr:cNvPr id="0" name="image2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6096000" cy="4572000"/>
    <xdr:pic>
      <xdr:nvPicPr>
        <xdr:cNvPr id="0" name="image3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6096000" cy="4572000"/>
    <xdr:pic>
      <xdr:nvPicPr>
        <xdr:cNvPr id="0" name="image3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6096000" cy="4572000"/>
    <xdr:pic>
      <xdr:nvPicPr>
        <xdr:cNvPr id="0" name="image3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6096000" cy="4572000"/>
    <xdr:pic>
      <xdr:nvPicPr>
        <xdr:cNvPr id="0" name="image2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</xdr:row>
      <xdr:rowOff>0</xdr:rowOff>
    </xdr:from>
    <xdr:ext cx="6096000" cy="4572000"/>
    <xdr:pic>
      <xdr:nvPicPr>
        <xdr:cNvPr id="0" name="image3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6096000" cy="4572000"/>
    <xdr:pic>
      <xdr:nvPicPr>
        <xdr:cNvPr id="0" name="image3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</xdr:row>
      <xdr:rowOff>0</xdr:rowOff>
    </xdr:from>
    <xdr:ext cx="6096000" cy="4572000"/>
    <xdr:pic>
      <xdr:nvPicPr>
        <xdr:cNvPr id="0" name="image3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6181725" cy="4638675"/>
    <xdr:pic>
      <xdr:nvPicPr>
        <xdr:cNvPr id="0" name="image2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6096000" cy="4572000"/>
    <xdr:pic>
      <xdr:nvPicPr>
        <xdr:cNvPr id="0" name="image31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38"/>
    <col customWidth="1" min="2" max="2" width="7.5"/>
    <col customWidth="1" min="3" max="3" width="18.5"/>
    <col customWidth="1" hidden="1" min="4" max="4" width="102.13"/>
    <col customWidth="1" hidden="1" min="5" max="5" width="19.88"/>
    <col customWidth="1" hidden="1" min="6" max="6" width="36.13"/>
    <col customWidth="1" hidden="1" min="7" max="7" width="19.88"/>
    <col customWidth="1" hidden="1" min="8" max="8" width="33.38"/>
    <col customWidth="1" min="9" max="9" width="19.88"/>
    <col customWidth="1" min="10" max="10" width="35.63"/>
    <col customWidth="1" min="11" max="11" width="90.38"/>
    <col customWidth="1" min="12" max="12" width="10.75"/>
    <col customWidth="1" min="13" max="26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E2" s="1">
        <v>0.391438018446546</v>
      </c>
      <c r="F2" s="1">
        <v>0.0</v>
      </c>
      <c r="G2" s="1">
        <v>1.0</v>
      </c>
      <c r="H2" s="1">
        <v>0.0</v>
      </c>
      <c r="I2" s="1">
        <v>0.562638095635136</v>
      </c>
      <c r="J2" s="1">
        <v>0.0</v>
      </c>
      <c r="L2" s="2" t="s">
        <v>13</v>
      </c>
    </row>
    <row r="3" ht="366.75" hidden="1" customHeight="1">
      <c r="A3" s="1" t="s">
        <v>14</v>
      </c>
      <c r="B3" s="3" t="b">
        <f>TRUE()</f>
        <v>1</v>
      </c>
      <c r="C3" s="1">
        <v>1.0</v>
      </c>
      <c r="D3" s="1" t="s">
        <v>15</v>
      </c>
      <c r="E3" s="1">
        <v>0.811914893617021</v>
      </c>
      <c r="F3" s="1">
        <v>107.418506980792</v>
      </c>
      <c r="G3" s="1">
        <v>0.78531445505433</v>
      </c>
      <c r="H3" s="1">
        <v>-21.468554494567</v>
      </c>
      <c r="I3" s="1">
        <v>0.798393170976651</v>
      </c>
      <c r="J3" s="1">
        <v>41.9017263797934</v>
      </c>
      <c r="K3" s="1"/>
    </row>
    <row r="4" ht="331.5" hidden="1" customHeight="1">
      <c r="A4" s="1" t="s">
        <v>14</v>
      </c>
      <c r="B4" s="3" t="b">
        <f>FALSE()</f>
        <v>0</v>
      </c>
      <c r="C4" s="1">
        <v>1.0</v>
      </c>
      <c r="D4" s="1" t="s">
        <v>15</v>
      </c>
      <c r="E4" s="1">
        <v>0.811914893617021</v>
      </c>
      <c r="F4" s="1">
        <v>107.418506980792</v>
      </c>
      <c r="G4" s="1">
        <v>0.78531445505433</v>
      </c>
      <c r="H4" s="1">
        <v>-21.468554494567</v>
      </c>
      <c r="I4" s="1">
        <v>0.798393170976651</v>
      </c>
      <c r="J4" s="1">
        <v>41.9017263797934</v>
      </c>
      <c r="K4" s="1"/>
      <c r="L4" s="2"/>
    </row>
    <row r="5" ht="360.0" hidden="1" customHeight="1">
      <c r="A5" s="1" t="s">
        <v>16</v>
      </c>
      <c r="B5" s="3" t="b">
        <f>TRUE()</f>
        <v>1</v>
      </c>
      <c r="C5" s="1">
        <v>1.0</v>
      </c>
      <c r="D5" s="1" t="s">
        <v>17</v>
      </c>
      <c r="E5" s="1">
        <v>0.856562275878556</v>
      </c>
      <c r="F5" s="1">
        <v>118.824497241708</v>
      </c>
      <c r="G5" s="1">
        <v>0.589891340138294</v>
      </c>
      <c r="H5" s="1">
        <v>-41.0108659861706</v>
      </c>
      <c r="I5" s="1">
        <v>0.698644827922394</v>
      </c>
      <c r="J5" s="1">
        <v>24.1730400664973</v>
      </c>
      <c r="K5" s="1"/>
    </row>
    <row r="6" ht="360.0" hidden="1" customHeight="1">
      <c r="A6" s="1" t="s">
        <v>16</v>
      </c>
      <c r="B6" s="3" t="b">
        <f>FALSE()</f>
        <v>0</v>
      </c>
      <c r="C6" s="1">
        <v>1.0</v>
      </c>
      <c r="D6" s="1" t="s">
        <v>18</v>
      </c>
      <c r="E6" s="1">
        <v>0.856803044719315</v>
      </c>
      <c r="F6" s="1">
        <v>118.886006044995</v>
      </c>
      <c r="G6" s="1">
        <v>0.593019427066184</v>
      </c>
      <c r="H6" s="1">
        <v>-40.6980572933816</v>
      </c>
      <c r="I6" s="1">
        <v>0.700914574820004</v>
      </c>
      <c r="J6" s="1">
        <v>24.576451587192</v>
      </c>
      <c r="K6" s="1"/>
    </row>
    <row r="7" ht="360.0" hidden="1" customHeight="1">
      <c r="A7" s="1" t="s">
        <v>19</v>
      </c>
      <c r="B7" s="3" t="b">
        <f>TRUE()</f>
        <v>1</v>
      </c>
      <c r="C7" s="1">
        <v>1.0</v>
      </c>
      <c r="D7" s="1" t="s">
        <v>20</v>
      </c>
      <c r="E7" s="1">
        <v>0.757607398568019</v>
      </c>
      <c r="F7" s="1">
        <v>93.5446642548026</v>
      </c>
      <c r="G7" s="1">
        <v>0.836187026671057</v>
      </c>
      <c r="H7" s="1">
        <v>-16.3812973328943</v>
      </c>
      <c r="I7" s="1">
        <v>0.79496008765065</v>
      </c>
      <c r="J7" s="1">
        <v>41.2915502554544</v>
      </c>
      <c r="K7" s="1"/>
    </row>
    <row r="8" ht="360.0" customHeight="1">
      <c r="A8" s="4" t="s">
        <v>19</v>
      </c>
      <c r="B8" s="4" t="b">
        <f>FALSE()</f>
        <v>0</v>
      </c>
      <c r="C8" s="4">
        <v>1.0</v>
      </c>
      <c r="D8" s="4" t="s">
        <v>21</v>
      </c>
      <c r="E8" s="4">
        <v>0.769791824950615</v>
      </c>
      <c r="F8" s="4">
        <v>96.6573987896215</v>
      </c>
      <c r="G8" s="4">
        <v>0.834046756667764</v>
      </c>
      <c r="H8" s="4">
        <v>-16.5953243332236</v>
      </c>
      <c r="I8" s="4">
        <v>0.800632161201106</v>
      </c>
      <c r="J8" s="4">
        <v>42.2996713895297</v>
      </c>
      <c r="K8" s="4"/>
      <c r="L8" s="5" t="s">
        <v>22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60.0" hidden="1" customHeight="1">
      <c r="A9" s="1" t="s">
        <v>23</v>
      </c>
      <c r="B9" s="3" t="b">
        <f>TRUE()</f>
        <v>1</v>
      </c>
      <c r="C9" s="1">
        <v>1.0</v>
      </c>
      <c r="D9" s="1" t="s">
        <v>24</v>
      </c>
      <c r="E9" s="1">
        <v>0.759178780158849</v>
      </c>
      <c r="F9" s="1">
        <v>93.9461024178779</v>
      </c>
      <c r="G9" s="1">
        <v>0.834046756667764</v>
      </c>
      <c r="H9" s="1">
        <v>-16.5953243332236</v>
      </c>
      <c r="I9" s="1">
        <v>0.794853691064564</v>
      </c>
      <c r="J9" s="1">
        <v>41.2726399493605</v>
      </c>
      <c r="K9" s="1"/>
    </row>
    <row r="10" ht="360.0" hidden="1" customHeight="1">
      <c r="A10" s="1" t="s">
        <v>23</v>
      </c>
      <c r="B10" s="3" t="b">
        <f>FALSE()</f>
        <v>0</v>
      </c>
      <c r="C10" s="1">
        <v>1.0</v>
      </c>
      <c r="D10" s="1" t="s">
        <v>25</v>
      </c>
      <c r="E10" s="1">
        <v>0.758254893171971</v>
      </c>
      <c r="F10" s="1">
        <v>93.710078592051</v>
      </c>
      <c r="G10" s="1">
        <v>0.835528482054659</v>
      </c>
      <c r="H10" s="1">
        <v>-16.4471517945341</v>
      </c>
      <c r="I10" s="1">
        <v>0.795018406830109</v>
      </c>
      <c r="J10" s="1">
        <v>41.3019155648623</v>
      </c>
      <c r="K10" s="1"/>
    </row>
    <row r="11" ht="360.0" hidden="1" customHeight="1">
      <c r="A11" s="1" t="s">
        <v>26</v>
      </c>
      <c r="B11" s="3" t="b">
        <f>TRUE()</f>
        <v>1</v>
      </c>
      <c r="C11" s="1">
        <v>1.0</v>
      </c>
      <c r="D11" s="1" t="s">
        <v>27</v>
      </c>
      <c r="E11" s="1">
        <v>0.75541382379116</v>
      </c>
      <c r="F11" s="1">
        <v>92.9842754643717</v>
      </c>
      <c r="G11" s="1">
        <v>0.838491932828449</v>
      </c>
      <c r="H11" s="1">
        <v>-16.1508067171551</v>
      </c>
      <c r="I11" s="1">
        <v>0.794787765293383</v>
      </c>
      <c r="J11" s="1">
        <v>41.2609226888884</v>
      </c>
      <c r="K11" s="1"/>
    </row>
    <row r="12" ht="360.0" hidden="1" customHeight="1">
      <c r="A12" s="1" t="s">
        <v>26</v>
      </c>
      <c r="B12" s="3" t="b">
        <f>FALSE()</f>
        <v>0</v>
      </c>
      <c r="C12" s="1">
        <v>1.0</v>
      </c>
      <c r="D12" s="1" t="s">
        <v>28</v>
      </c>
      <c r="E12" s="1">
        <v>0.735463079725375</v>
      </c>
      <c r="F12" s="1">
        <v>87.8874930555089</v>
      </c>
      <c r="G12" s="1">
        <v>0.864175172867962</v>
      </c>
      <c r="H12" s="1">
        <v>-13.5824827132038</v>
      </c>
      <c r="I12" s="1">
        <v>0.794640829611687</v>
      </c>
      <c r="J12" s="1">
        <v>41.23480720136</v>
      </c>
      <c r="K12" s="1"/>
    </row>
    <row r="13" ht="360.0" customHeight="1">
      <c r="A13" s="1"/>
    </row>
    <row r="14" ht="360.0" customHeight="1">
      <c r="A14" s="4" t="s">
        <v>29</v>
      </c>
      <c r="B14" s="6" t="b">
        <f>TRUE()</f>
        <v>1</v>
      </c>
      <c r="C14" s="4">
        <v>2.0</v>
      </c>
      <c r="D14" s="4" t="s">
        <v>30</v>
      </c>
      <c r="E14" s="4">
        <v>0.844985816786251</v>
      </c>
      <c r="F14" s="4">
        <v>115.86707906903</v>
      </c>
      <c r="G14" s="4">
        <v>0.833717484359565</v>
      </c>
      <c r="H14" s="4">
        <v>-16.6282515640435</v>
      </c>
      <c r="I14" s="4">
        <v>0.839313831109638</v>
      </c>
      <c r="J14" s="4">
        <v>49.1747248579348</v>
      </c>
      <c r="K14" s="4"/>
      <c r="L14" s="5" t="s">
        <v>31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60.0" hidden="1" customHeight="1">
      <c r="A15" s="1" t="s">
        <v>29</v>
      </c>
      <c r="B15" s="3" t="b">
        <f>FALSE()</f>
        <v>0</v>
      </c>
      <c r="C15" s="1">
        <v>2.0</v>
      </c>
      <c r="D15" s="1" t="s">
        <v>32</v>
      </c>
      <c r="E15" s="1">
        <v>0.787809274127478</v>
      </c>
      <c r="F15" s="1">
        <v>101.260285665139</v>
      </c>
      <c r="G15" s="1">
        <v>0.791570628910109</v>
      </c>
      <c r="H15" s="1">
        <v>-20.8429371089891</v>
      </c>
      <c r="I15" s="1">
        <v>0.789685472612302</v>
      </c>
      <c r="J15" s="1">
        <v>40.3540710695857</v>
      </c>
      <c r="K15" s="1"/>
    </row>
    <row r="16" ht="360.0" hidden="1" customHeight="1">
      <c r="A16" s="1" t="s">
        <v>33</v>
      </c>
      <c r="B16" s="1" t="b">
        <f>TRUE()</f>
        <v>1</v>
      </c>
      <c r="C16" s="1">
        <v>2.0</v>
      </c>
      <c r="D16" s="1" t="s">
        <v>17</v>
      </c>
      <c r="E16" s="1">
        <v>0.6410998552822</v>
      </c>
      <c r="F16" s="1">
        <v>63.7806817606675</v>
      </c>
      <c r="G16" s="1">
        <v>0.583470530128416</v>
      </c>
      <c r="H16" s="1">
        <v>-41.6529469871584</v>
      </c>
      <c r="I16" s="1">
        <v>0.610929150146527</v>
      </c>
      <c r="J16" s="1">
        <v>8.58296920987497</v>
      </c>
      <c r="K16" s="1"/>
    </row>
    <row r="17" ht="360.0" hidden="1" customHeight="1">
      <c r="A17" s="1" t="s">
        <v>33</v>
      </c>
      <c r="B17" s="1" t="b">
        <f>FALSE()</f>
        <v>0</v>
      </c>
      <c r="C17" s="1">
        <v>2.0</v>
      </c>
      <c r="D17" s="1" t="s">
        <v>17</v>
      </c>
      <c r="E17" s="1">
        <v>0.641137063190295</v>
      </c>
      <c r="F17" s="1">
        <v>63.7901872012077</v>
      </c>
      <c r="G17" s="1">
        <v>0.582976621666118</v>
      </c>
      <c r="H17" s="1">
        <v>-41.7023378333882</v>
      </c>
      <c r="I17" s="1">
        <v>0.610675174614124</v>
      </c>
      <c r="J17" s="1">
        <v>8.53782908616627</v>
      </c>
      <c r="K17" s="1"/>
    </row>
    <row r="18" ht="360.0" hidden="1" customHeight="1">
      <c r="A18" s="1" t="s">
        <v>34</v>
      </c>
      <c r="B18" s="1" t="b">
        <f>TRUE()</f>
        <v>1</v>
      </c>
      <c r="C18" s="1">
        <v>2.0</v>
      </c>
      <c r="D18" s="1" t="s">
        <v>35</v>
      </c>
      <c r="E18" s="1">
        <v>0.784435146443515</v>
      </c>
      <c r="F18" s="1">
        <v>100.398303045936</v>
      </c>
      <c r="G18" s="1">
        <v>0.771649654264076</v>
      </c>
      <c r="H18" s="1">
        <v>-22.8350345735924</v>
      </c>
      <c r="I18" s="1">
        <v>0.777989874678396</v>
      </c>
      <c r="J18" s="1">
        <v>38.2753639886685</v>
      </c>
      <c r="K18" s="1"/>
    </row>
    <row r="19" ht="360.0" hidden="1" customHeight="1">
      <c r="A19" s="1" t="s">
        <v>34</v>
      </c>
      <c r="B19" s="1" t="b">
        <f>FALSE()</f>
        <v>0</v>
      </c>
      <c r="C19" s="1">
        <v>2.0</v>
      </c>
      <c r="D19" s="1" t="s">
        <v>36</v>
      </c>
      <c r="E19" s="1">
        <v>0.842377260981912</v>
      </c>
      <c r="F19" s="1">
        <v>115.200675786414</v>
      </c>
      <c r="G19" s="1">
        <v>0.805070793546263</v>
      </c>
      <c r="H19" s="1">
        <v>-19.4929206453737</v>
      </c>
      <c r="I19" s="1">
        <v>0.823301624715885</v>
      </c>
      <c r="J19" s="1">
        <v>46.328809069798</v>
      </c>
      <c r="K19" s="1"/>
    </row>
    <row r="20" ht="360.0" hidden="1" customHeight="1">
      <c r="A20" s="1" t="s">
        <v>37</v>
      </c>
      <c r="B20" s="1" t="b">
        <f>TRUE()</f>
        <v>1</v>
      </c>
      <c r="C20" s="1">
        <v>2.0</v>
      </c>
      <c r="D20" s="1" t="s">
        <v>38</v>
      </c>
      <c r="E20" s="1">
        <v>0.718396892655367</v>
      </c>
      <c r="F20" s="1">
        <v>83.5276234808221</v>
      </c>
      <c r="G20" s="1">
        <v>0.669904511030622</v>
      </c>
      <c r="H20" s="1">
        <v>-33.0095488969378</v>
      </c>
      <c r="I20" s="1">
        <v>0.693303799625149</v>
      </c>
      <c r="J20" s="1">
        <v>23.2237569769446</v>
      </c>
      <c r="K20" s="1"/>
    </row>
    <row r="21" ht="360.0" hidden="1" customHeight="1">
      <c r="A21" s="1" t="s">
        <v>37</v>
      </c>
      <c r="B21" s="1" t="b">
        <f>FALSE()</f>
        <v>0</v>
      </c>
      <c r="C21" s="1">
        <v>2.0</v>
      </c>
      <c r="D21" s="1" t="s">
        <v>39</v>
      </c>
      <c r="E21" s="1">
        <v>0.731108757062147</v>
      </c>
      <c r="F21" s="1">
        <v>86.7751017041249</v>
      </c>
      <c r="G21" s="1">
        <v>0.681758314125782</v>
      </c>
      <c r="H21" s="1">
        <v>-31.8241685874218</v>
      </c>
      <c r="I21" s="1">
        <v>0.705571647640143</v>
      </c>
      <c r="J21" s="1">
        <v>25.4041724358633</v>
      </c>
      <c r="K21" s="1"/>
    </row>
    <row r="22" ht="360.0" hidden="1" customHeight="1">
      <c r="A22" s="1" t="s">
        <v>40</v>
      </c>
      <c r="B22" s="1" t="b">
        <f>TRUE()</f>
        <v>1</v>
      </c>
      <c r="C22" s="1">
        <v>2.0</v>
      </c>
      <c r="D22" s="1" t="s">
        <v>41</v>
      </c>
      <c r="E22" s="1">
        <v>0.59445913963525</v>
      </c>
      <c r="F22" s="1">
        <v>51.8654580345595</v>
      </c>
      <c r="G22" s="1">
        <v>0.70299637800461</v>
      </c>
      <c r="H22" s="1">
        <v>-29.700362199539</v>
      </c>
      <c r="I22" s="1">
        <v>0.644187976163536</v>
      </c>
      <c r="J22" s="1">
        <v>14.4941981641579</v>
      </c>
      <c r="K22" s="1"/>
    </row>
    <row r="23" ht="360.0" hidden="1" customHeight="1">
      <c r="A23" s="1" t="s">
        <v>40</v>
      </c>
      <c r="B23" s="1" t="b">
        <f>FALSE()</f>
        <v>0</v>
      </c>
      <c r="C23" s="1">
        <v>2.0</v>
      </c>
      <c r="D23" s="1" t="s">
        <v>42</v>
      </c>
      <c r="E23" s="1">
        <v>0.617216687422167</v>
      </c>
      <c r="F23" s="1">
        <v>57.679289781724</v>
      </c>
      <c r="G23" s="1">
        <v>0.652782351004281</v>
      </c>
      <c r="H23" s="1">
        <v>-34.7217648995719</v>
      </c>
      <c r="I23" s="1">
        <v>0.634501520243239</v>
      </c>
      <c r="J23" s="1">
        <v>12.7725842180985</v>
      </c>
      <c r="K23" s="1"/>
    </row>
    <row r="24" ht="368.25" customHeight="1"/>
    <row r="25" ht="360.0" hidden="1" customHeight="1">
      <c r="A25" s="1" t="s">
        <v>43</v>
      </c>
      <c r="B25" s="1" t="b">
        <f>TRUE()</f>
        <v>1</v>
      </c>
      <c r="C25" s="1">
        <v>3.0</v>
      </c>
      <c r="D25" s="1" t="s">
        <v>32</v>
      </c>
      <c r="E25" s="1">
        <v>0.879181228157763</v>
      </c>
      <c r="F25" s="1">
        <v>124.602922231946</v>
      </c>
      <c r="G25" s="1">
        <v>0.869772802107343</v>
      </c>
      <c r="H25" s="1">
        <v>-13.0227197892657</v>
      </c>
      <c r="I25" s="1">
        <v>0.874451709012662</v>
      </c>
      <c r="J25" s="1">
        <v>55.4199254896764</v>
      </c>
      <c r="K25" s="1"/>
    </row>
    <row r="26" ht="360.0" customHeight="1">
      <c r="A26" s="7" t="s">
        <v>43</v>
      </c>
      <c r="B26" s="8" t="b">
        <f>FALSE()</f>
        <v>0</v>
      </c>
      <c r="C26" s="7">
        <v>3.0</v>
      </c>
      <c r="D26" s="7" t="s">
        <v>30</v>
      </c>
      <c r="E26" s="7">
        <v>0.903735395754484</v>
      </c>
      <c r="F26" s="7">
        <v>130.875733364131</v>
      </c>
      <c r="G26" s="7">
        <v>0.904181758314126</v>
      </c>
      <c r="H26" s="7">
        <v>-9.58182416858743</v>
      </c>
      <c r="I26" s="7">
        <v>0.903958521932351</v>
      </c>
      <c r="J26" s="7">
        <v>60.6642936098941</v>
      </c>
      <c r="K26" s="7"/>
      <c r="L26" s="9" t="s">
        <v>44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60.0" hidden="1" customHeight="1">
      <c r="A27" s="1" t="s">
        <v>45</v>
      </c>
      <c r="B27" s="3" t="b">
        <f>TRUE()</f>
        <v>1</v>
      </c>
      <c r="C27" s="1">
        <v>3.0</v>
      </c>
      <c r="D27" s="1" t="s">
        <v>46</v>
      </c>
      <c r="E27" s="1">
        <v>0.842844202898551</v>
      </c>
      <c r="F27" s="1">
        <v>115.319964637939</v>
      </c>
      <c r="G27" s="1">
        <v>0.612775765558117</v>
      </c>
      <c r="H27" s="1">
        <v>-38.7224234441884</v>
      </c>
      <c r="I27" s="1">
        <v>0.709628217349857</v>
      </c>
      <c r="J27" s="1">
        <v>26.1251633785642</v>
      </c>
      <c r="K27" s="1"/>
    </row>
    <row r="28" ht="360.0" hidden="1" customHeight="1">
      <c r="A28" s="1" t="s">
        <v>45</v>
      </c>
      <c r="B28" s="1" t="b">
        <f>FALSE()</f>
        <v>0</v>
      </c>
      <c r="C28" s="1">
        <v>3.0</v>
      </c>
      <c r="D28" s="1" t="s">
        <v>47</v>
      </c>
      <c r="E28" s="1">
        <v>0.843403484951346</v>
      </c>
      <c r="F28" s="1">
        <v>115.46284346586</v>
      </c>
      <c r="G28" s="1">
        <v>0.613598946328614</v>
      </c>
      <c r="H28" s="1">
        <v>-38.6401053671386</v>
      </c>
      <c r="I28" s="1">
        <v>0.710378347469742</v>
      </c>
      <c r="J28" s="1">
        <v>26.2584871128978</v>
      </c>
      <c r="K28" s="1"/>
    </row>
    <row r="29" ht="360.0" hidden="1" customHeight="1">
      <c r="A29" s="1" t="s">
        <v>48</v>
      </c>
      <c r="B29" s="1" t="b">
        <f>TRUE()</f>
        <v>1</v>
      </c>
      <c r="C29" s="1">
        <v>3.0</v>
      </c>
      <c r="D29" s="1" t="s">
        <v>49</v>
      </c>
      <c r="E29" s="1">
        <v>0.905783738474434</v>
      </c>
      <c r="F29" s="1">
        <v>131.39901996978</v>
      </c>
      <c r="G29" s="1">
        <v>0.889529140599275</v>
      </c>
      <c r="H29" s="1">
        <v>-11.0470859400725</v>
      </c>
      <c r="I29" s="1">
        <v>0.897582855718913</v>
      </c>
      <c r="J29" s="1">
        <v>59.5311200365262</v>
      </c>
      <c r="K29" s="1"/>
    </row>
    <row r="30" ht="360.0" hidden="1" customHeight="1">
      <c r="A30" s="1" t="s">
        <v>48</v>
      </c>
      <c r="B30" s="1" t="b">
        <f>FALSE()</f>
        <v>0</v>
      </c>
      <c r="C30" s="1">
        <v>3.0</v>
      </c>
      <c r="D30" s="1" t="s">
        <v>50</v>
      </c>
      <c r="E30" s="1">
        <v>0.903360642033105</v>
      </c>
      <c r="F30" s="1">
        <v>130.779995672921</v>
      </c>
      <c r="G30" s="1">
        <v>0.889529140599275</v>
      </c>
      <c r="H30" s="1">
        <v>-11.0470859400725</v>
      </c>
      <c r="I30" s="1">
        <v>0.896391538780589</v>
      </c>
      <c r="J30" s="1">
        <v>59.3193823409157</v>
      </c>
      <c r="K30" s="1"/>
    </row>
    <row r="31" ht="360.0" hidden="1" customHeight="1">
      <c r="A31" s="1" t="s">
        <v>51</v>
      </c>
      <c r="B31" s="1" t="b">
        <f>TRUE()</f>
        <v>1</v>
      </c>
      <c r="C31" s="1">
        <v>3.0</v>
      </c>
      <c r="D31" s="1" t="s">
        <v>52</v>
      </c>
      <c r="E31" s="1">
        <v>0.818097733929397</v>
      </c>
      <c r="F31" s="1">
        <v>108.99802660357</v>
      </c>
      <c r="G31" s="1">
        <v>0.873724069805729</v>
      </c>
      <c r="H31" s="1">
        <v>-12.6275930194271</v>
      </c>
      <c r="I31" s="1">
        <v>0.844996417482684</v>
      </c>
      <c r="J31" s="1">
        <v>50.1847144795284</v>
      </c>
      <c r="K31" s="1"/>
    </row>
    <row r="32" ht="360.0" hidden="1" customHeight="1">
      <c r="A32" s="1" t="s">
        <v>51</v>
      </c>
      <c r="B32" s="1" t="b">
        <f>FALSE()</f>
        <v>0</v>
      </c>
      <c r="C32" s="1">
        <v>3.0</v>
      </c>
      <c r="D32" s="1" t="s">
        <v>53</v>
      </c>
      <c r="E32" s="1">
        <v>0.82033793210355</v>
      </c>
      <c r="F32" s="1">
        <v>109.570326193437</v>
      </c>
      <c r="G32" s="1">
        <v>0.871254527494238</v>
      </c>
      <c r="H32" s="1">
        <v>-12.8745472505762</v>
      </c>
      <c r="I32" s="1">
        <v>0.84502994011976</v>
      </c>
      <c r="J32" s="1">
        <v>50.1906725967153</v>
      </c>
      <c r="K32" s="1"/>
    </row>
    <row r="33" ht="360.0" hidden="1" customHeight="1">
      <c r="A33" s="1" t="s">
        <v>54</v>
      </c>
      <c r="B33" s="1" t="b">
        <f>TRUE()</f>
        <v>1</v>
      </c>
      <c r="C33" s="1">
        <v>3.0</v>
      </c>
      <c r="D33" s="1" t="s">
        <v>55</v>
      </c>
      <c r="E33" s="1">
        <v>0.77784624865198</v>
      </c>
      <c r="F33" s="1">
        <v>98.7150486145744</v>
      </c>
      <c r="G33" s="1">
        <v>0.831247942048074</v>
      </c>
      <c r="H33" s="1">
        <v>-16.8752057951926</v>
      </c>
      <c r="I33" s="1">
        <v>0.803660962992439</v>
      </c>
      <c r="J33" s="1">
        <v>42.8379928815919</v>
      </c>
      <c r="K33" s="1"/>
    </row>
    <row r="34" ht="360.0" hidden="1" customHeight="1">
      <c r="A34" s="1" t="s">
        <v>54</v>
      </c>
      <c r="B34" s="1" t="b">
        <f>FALSE()</f>
        <v>0</v>
      </c>
      <c r="C34" s="1">
        <v>3.0</v>
      </c>
      <c r="D34" s="1" t="s">
        <v>56</v>
      </c>
      <c r="E34" s="1">
        <v>0.754607459004499</v>
      </c>
      <c r="F34" s="1">
        <v>92.7782748337071</v>
      </c>
      <c r="G34" s="1">
        <v>0.856108001317089</v>
      </c>
      <c r="H34" s="1">
        <v>-14.3891998682911</v>
      </c>
      <c r="I34" s="1">
        <v>0.802159660624759</v>
      </c>
      <c r="J34" s="1">
        <v>42.5711601912129</v>
      </c>
      <c r="K34" s="1"/>
    </row>
    <row r="35" ht="365.25" customHeight="1">
      <c r="A35" s="1"/>
    </row>
    <row r="36" ht="360.0" customHeight="1">
      <c r="A36" s="10" t="s">
        <v>57</v>
      </c>
      <c r="B36" s="11" t="b">
        <f>TRUE()</f>
        <v>1</v>
      </c>
      <c r="C36" s="10">
        <v>3.0</v>
      </c>
      <c r="D36" s="10"/>
      <c r="E36" s="10">
        <v>0.937867148666968</v>
      </c>
      <c r="F36" s="10">
        <v>139.595313809571</v>
      </c>
      <c r="G36" s="10">
        <v>0.683404675666776</v>
      </c>
      <c r="H36" s="10">
        <v>-31.6595324333224</v>
      </c>
      <c r="I36" s="10">
        <v>0.790666666666667</v>
      </c>
      <c r="J36" s="10">
        <v>40.5284627543963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