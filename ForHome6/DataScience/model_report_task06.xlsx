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193.png" ContentType="image/png"/>
  <Override PartName="/xl/media/image192.png" ContentType="image/png"/>
  <Override PartName="/xl/media/image166.png" ContentType="image/png"/>
  <Override PartName="/xl/media/image167.png" ContentType="image/png"/>
  <Override PartName="/xl/media/image168.png" ContentType="image/png"/>
  <Override PartName="/xl/media/image170.png" ContentType="image/png"/>
  <Override PartName="/xl/media/image169.png" ContentType="image/png"/>
  <Override PartName="/xl/media/image171.png" ContentType="image/png"/>
  <Override PartName="/xl/media/image172.png" ContentType="image/png"/>
  <Override PartName="/xl/media/image173.png" ContentType="image/png"/>
  <Override PartName="/xl/media/image174.png" ContentType="image/png"/>
  <Override PartName="/xl/media/image175.png" ContentType="image/png"/>
  <Override PartName="/xl/media/image176.png" ContentType="image/png"/>
  <Override PartName="/xl/media/image194.png" ContentType="image/png"/>
  <Override PartName="/xl/media/image195.png" ContentType="image/png"/>
  <Override PartName="/xl/media/image177.png" ContentType="image/png"/>
  <Override PartName="/xl/media/image165.png" ContentType="image/png"/>
  <Override PartName="/xl/media/image178.png" ContentType="image/png"/>
  <Override PartName="/xl/media/image180.png" ContentType="image/png"/>
  <Override PartName="/xl/media/image179.png" ContentType="image/png"/>
  <Override PartName="/xl/media/image181.png" ContentType="image/png"/>
  <Override PartName="/xl/media/image182.png" ContentType="image/png"/>
  <Override PartName="/xl/media/image183.png" ContentType="image/png"/>
  <Override PartName="/xl/media/image184.png" ContentType="image/png"/>
  <Override PartName="/xl/media/image185.png" ContentType="image/png"/>
  <Override PartName="/xl/media/image186.png" ContentType="image/png"/>
  <Override PartName="/xl/media/image187.png" ContentType="image/png"/>
  <Override PartName="/xl/media/image188.png" ContentType="image/png"/>
  <Override PartName="/xl/media/image190.png" ContentType="image/png"/>
  <Override PartName="/xl/media/image189.png" ContentType="image/png"/>
  <Override PartName="/xl/media/image191.png" ContentType="image/png"/>
  <Override PartName="/xl/drawings/_rels/drawing1.xml.rels" ContentType="application/vnd.openxmlformats-package.relationship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heet" sheetId="1" state="visible" r:id="rId2"/>
    <sheet name="ModelReport"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<sst xmlns="http://schemas.openxmlformats.org/spreadsheetml/2006/main" count="76" uniqueCount="41">
  <si>
    <t xml:space="preserve">Model</t>
  </si>
  <si>
    <t xml:space="preserve">Scaling</t>
  </si>
  <si>
    <t xml:space="preserve">Number of variables</t>
  </si>
  <si>
    <t xml:space="preserve">Hyperparams</t>
  </si>
  <si>
    <t xml:space="preserve">Precision</t>
  </si>
  <si>
    <t xml:space="preserve">Precision increase from base model (in %)</t>
  </si>
  <si>
    <t xml:space="preserve">Recall</t>
  </si>
  <si>
    <t xml:space="preserve">Recall increase from base model (in %)</t>
  </si>
  <si>
    <t xml:space="preserve">F1 Score</t>
  </si>
  <si>
    <t xml:space="preserve">F1 score increase from base model (in %)</t>
  </si>
  <si>
    <t xml:space="preserve">Confusion matrix</t>
  </si>
  <si>
    <t xml:space="preserve">Comments</t>
  </si>
  <si>
    <t xml:space="preserve">Base model</t>
  </si>
  <si>
    <t xml:space="preserve">logistic model on Index(['Male', 'age', 'tb', 'db', 'alkphos', 'sgpt', 'sgot', 'tp', 'alb',
       'ag ratio', 'has_liver_disease'],
      dtype='object')</t>
  </si>
  <si>
    <t xml:space="preserve">{'logistic__penalty': 'l2', 'logistic__C': np.float64(0.1)}</t>
  </si>
  <si>
    <t xml:space="preserve">I tried using all columns, and only the columns that have the highest correlation with has_liver_disease but without including the highly correlated columns more than once. </t>
  </si>
  <si>
    <t xml:space="preserve">{'logistic__penalty': 'l2', 'logistic__C': np.float64(0.8)}</t>
  </si>
  <si>
    <t xml:space="preserve">For the models I am using all of the studied models and also two ensembling models. But we found out that the models perfectly fit the data which is strange, but this is with the test data, so it shouldn’t be overfitting.</t>
  </si>
  <si>
    <t xml:space="preserve">svm model on Index(['Male', 'age', 'tb', 'db', 'alkphos', 'sgpt', 'sgot', 'tp', 'alb',
       'ag ratio', 'has_liver_disease'],
      dtype='object')</t>
  </si>
  <si>
    <t xml:space="preserve">{'svm__kernel': 'linear', 'svm__gamma': 'scale', 'svm__C': np.float64(0.4)}</t>
  </si>
  <si>
    <t xml:space="preserve">cart model on Index(['Male', 'age', 'tb', 'db', 'alkphos', 'sgpt', 'sgot', 'tp', 'alb',
       'ag ratio', 'has_liver_disease'],
      dtype='object')</t>
  </si>
  <si>
    <t xml:space="preserve">{'cart__min_samples_split': np.int64(39), 'cart__max_depth': np.int64(70), 'cart__criterion': 'gini'}</t>
  </si>
  <si>
    <t xml:space="preserve">{'cart__min_samples_split': np.int64(42), 'cart__max_depth': np.int64(36), 'cart__criterion': 'gini'}</t>
  </si>
  <si>
    <t xml:space="preserve">ensemble model on Index(['Male', 'age', 'tb', 'db', 'alkphos', 'sgpt', 'sgot', 'tp', 'alb',
       'ag ratio', 'has_liver_disease'],
      dtype='object')</t>
  </si>
  <si>
    <t xml:space="preserve">{}</t>
  </si>
  <si>
    <t xml:space="preserve">logistic model on Index(['Male', 'age', 'db', 'alkphos', 'sgot', 'alb', 'ag ratio',
       'has_liver_disease'],
      dtype='object')</t>
  </si>
  <si>
    <t xml:space="preserve">svm model on Index(['Male', 'age', 'db', 'alkphos', 'sgot', 'alb', 'ag ratio',
       'has_liver_disease'],
      dtype='object')</t>
  </si>
  <si>
    <t xml:space="preserve">{'svm__kernel': 'linear', 'svm__gamma': 'scale', 'svm__C': np.float64(0.9)}</t>
  </si>
  <si>
    <t xml:space="preserve">{'svm__kernel': 'linear', 'svm__gamma': 'scale', 'svm__C': np.float64(0.1)}</t>
  </si>
  <si>
    <t xml:space="preserve">cart model on Index(['Male', 'age', 'db', 'alkphos', 'sgot', 'alb', 'ag ratio',
       'has_liver_disease'],
      dtype='object')</t>
  </si>
  <si>
    <t xml:space="preserve">{'cart__min_samples_split': np.int64(33), 'cart__max_depth': np.int64(77), 'cart__criterion': 'entropy'}</t>
  </si>
  <si>
    <t xml:space="preserve">{'cart__min_samples_split': np.int64(33), 'cart__max_depth': np.int64(40), 'cart__criterion': 'gini'}</t>
  </si>
  <si>
    <t xml:space="preserve">ensemble model on Index(['Male', 'age', 'db', 'alkphos', 'sgot', 'alb', 'ag ratio',
       'has_liver_disease'],
      dtype='object')</t>
  </si>
  <si>
    <t xml:space="preserve">logistic model on Index(['Male', 'age', 'db', 'alkphos', 'sgot', 'alb', 'has_liver_disease'], dtype='object')</t>
  </si>
  <si>
    <t xml:space="preserve">This is the best model because it’s the simplest and it achieves 100% accuracy.</t>
  </si>
  <si>
    <t xml:space="preserve">svm model on Index(['Male', 'age', 'db', 'alkphos', 'sgot', 'alb', 'has_liver_disease'], dtype='object')</t>
  </si>
  <si>
    <t xml:space="preserve">{'svm__kernel': 'linear', 'svm__gamma': 'scale', 'svm__C': np.float64(0.7000000000000001)}</t>
  </si>
  <si>
    <t xml:space="preserve">cart model on Index(['Male', 'age', 'db', 'alkphos', 'sgot', 'alb', 'has_liver_disease'], dtype='object')</t>
  </si>
  <si>
    <t xml:space="preserve">{'cart__min_samples_split': np.int64(14), 'cart__max_depth': np.int64(68), 'cart__criterion': 'gini'}</t>
  </si>
  <si>
    <t xml:space="preserve">{'cart__min_samples_split': np.int64(33), 'cart__max_depth': np.int64(3), 'cart__criterion': 'gini'}</t>
  </si>
  <si>
    <t xml:space="preserve">ensemble model on Index(['Male', 'age', 'db', 'alkphos', 'sgot', 'alb', 'has_liver_disease'], dtype='object')</t>
  </si>
</sst>
</file>

<file path=xl/styles.xml><?xml version="1.0" encoding="utf-8"?>
<styleSheet xmlns="http://schemas.openxmlformats.org/spreadsheetml/2006/main">
  <numFmts count="3">
    <numFmt numFmtId="164" formatCode="General"/>
    <numFmt numFmtId="165" formatCode="0.00"/>
    <numFmt numFmtId="166" formatCode="General"/>
  </numFmts>
  <fonts count="4">
    <font>
      <sz val="11"/>
      <color rgb="FF000000"/>
      <name val="Calibri"/>
      <family val="2"/>
      <charset val="1"/>
    </font>
    <font>
      <sz val="10"/>
      <name val="Arial"/>
      <family val="0"/>
    </font>
    <font>
      <sz val="10"/>
      <name val="Arial"/>
      <family val="0"/>
    </font>
    <font>
      <sz val="10"/>
      <name val="Arial"/>
      <family val="0"/>
    </font>
  </fonts>
  <fills count="3">
    <fill>
      <patternFill patternType="none"/>
    </fill>
    <fill>
      <patternFill patternType="gray125"/>
    </fill>
    <fill>
      <patternFill patternType="solid">
        <fgColor rgb="FFAFD095"/>
        <bgColor rgb="FF99CC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true" applyProtection="false">
      <alignment horizontal="general" vertical="top" textRotation="0" wrapText="true" indent="0" shrinkToFit="false"/>
      <protection locked="true" hidden="false"/>
    </xf>
    <xf numFmtId="165" fontId="0" fillId="0" borderId="0" xfId="0" applyFont="true" applyBorder="false" applyAlignment="true" applyProtection="false">
      <alignment horizontal="general" vertical="top" textRotation="0" wrapText="tru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6" fontId="0" fillId="2" borderId="0" xfId="0" applyFont="true" applyBorder="false" applyAlignment="false" applyProtection="false">
      <alignment horizontal="general" vertical="bottom" textRotation="0" wrapText="false" indent="0" shrinkToFit="false"/>
      <protection locked="true" hidden="false"/>
    </xf>
    <xf numFmtId="165" fontId="0" fillId="2"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FD095"/>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65.png"/><Relationship Id="rId2" Type="http://schemas.openxmlformats.org/officeDocument/2006/relationships/image" Target="../media/image166.png"/><Relationship Id="rId3" Type="http://schemas.openxmlformats.org/officeDocument/2006/relationships/image" Target="../media/image167.png"/><Relationship Id="rId4" Type="http://schemas.openxmlformats.org/officeDocument/2006/relationships/image" Target="../media/image168.png"/><Relationship Id="rId5" Type="http://schemas.openxmlformats.org/officeDocument/2006/relationships/image" Target="../media/image169.png"/><Relationship Id="rId6" Type="http://schemas.openxmlformats.org/officeDocument/2006/relationships/image" Target="../media/image170.png"/><Relationship Id="rId7" Type="http://schemas.openxmlformats.org/officeDocument/2006/relationships/image" Target="../media/image171.png"/><Relationship Id="rId8" Type="http://schemas.openxmlformats.org/officeDocument/2006/relationships/image" Target="../media/image172.png"/><Relationship Id="rId9" Type="http://schemas.openxmlformats.org/officeDocument/2006/relationships/image" Target="../media/image173.png"/><Relationship Id="rId10" Type="http://schemas.openxmlformats.org/officeDocument/2006/relationships/image" Target="../media/image174.png"/><Relationship Id="rId11" Type="http://schemas.openxmlformats.org/officeDocument/2006/relationships/image" Target="../media/image175.png"/><Relationship Id="rId12" Type="http://schemas.openxmlformats.org/officeDocument/2006/relationships/image" Target="../media/image176.png"/><Relationship Id="rId13" Type="http://schemas.openxmlformats.org/officeDocument/2006/relationships/image" Target="../media/image177.png"/><Relationship Id="rId14" Type="http://schemas.openxmlformats.org/officeDocument/2006/relationships/image" Target="../media/image178.png"/><Relationship Id="rId15" Type="http://schemas.openxmlformats.org/officeDocument/2006/relationships/image" Target="../media/image179.png"/><Relationship Id="rId16" Type="http://schemas.openxmlformats.org/officeDocument/2006/relationships/image" Target="../media/image180.png"/><Relationship Id="rId17" Type="http://schemas.openxmlformats.org/officeDocument/2006/relationships/image" Target="../media/image181.png"/><Relationship Id="rId18" Type="http://schemas.openxmlformats.org/officeDocument/2006/relationships/image" Target="../media/image182.png"/><Relationship Id="rId19" Type="http://schemas.openxmlformats.org/officeDocument/2006/relationships/image" Target="../media/image183.png"/><Relationship Id="rId20" Type="http://schemas.openxmlformats.org/officeDocument/2006/relationships/image" Target="../media/image184.png"/><Relationship Id="rId21" Type="http://schemas.openxmlformats.org/officeDocument/2006/relationships/image" Target="../media/image185.png"/><Relationship Id="rId22" Type="http://schemas.openxmlformats.org/officeDocument/2006/relationships/image" Target="../media/image186.png"/><Relationship Id="rId23" Type="http://schemas.openxmlformats.org/officeDocument/2006/relationships/image" Target="../media/image187.png"/><Relationship Id="rId24" Type="http://schemas.openxmlformats.org/officeDocument/2006/relationships/image" Target="../media/image188.png"/><Relationship Id="rId25" Type="http://schemas.openxmlformats.org/officeDocument/2006/relationships/image" Target="../media/image189.png"/><Relationship Id="rId26" Type="http://schemas.openxmlformats.org/officeDocument/2006/relationships/image" Target="../media/image190.png"/><Relationship Id="rId27" Type="http://schemas.openxmlformats.org/officeDocument/2006/relationships/image" Target="../media/image191.png"/><Relationship Id="rId28" Type="http://schemas.openxmlformats.org/officeDocument/2006/relationships/image" Target="../media/image192.png"/><Relationship Id="rId29" Type="http://schemas.openxmlformats.org/officeDocument/2006/relationships/image" Target="../media/image193.png"/><Relationship Id="rId30" Type="http://schemas.openxmlformats.org/officeDocument/2006/relationships/image" Target="../media/image194.png"/><Relationship Id="rId31" Type="http://schemas.openxmlformats.org/officeDocument/2006/relationships/image" Target="../media/image195.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10</xdr:col>
      <xdr:colOff>0</xdr:colOff>
      <xdr:row>2</xdr:row>
      <xdr:rowOff>0</xdr:rowOff>
    </xdr:from>
    <xdr:to>
      <xdr:col>10</xdr:col>
      <xdr:colOff>6095520</xdr:colOff>
      <xdr:row>2</xdr:row>
      <xdr:rowOff>4571640</xdr:rowOff>
    </xdr:to>
    <xdr:pic>
      <xdr:nvPicPr>
        <xdr:cNvPr id="0" name="Image 1" descr="Picture"/>
        <xdr:cNvPicPr/>
      </xdr:nvPicPr>
      <xdr:blipFill>
        <a:blip r:embed="rId1"/>
        <a:stretch/>
      </xdr:blipFill>
      <xdr:spPr>
        <a:xfrm>
          <a:off x="23988240" y="350640"/>
          <a:ext cx="6095520" cy="4571640"/>
        </a:xfrm>
        <a:prstGeom prst="rect">
          <a:avLst/>
        </a:prstGeom>
        <a:ln w="0">
          <a:noFill/>
        </a:ln>
      </xdr:spPr>
    </xdr:pic>
    <xdr:clientData/>
  </xdr:twoCellAnchor>
  <xdr:twoCellAnchor editAs="oneCell">
    <xdr:from>
      <xdr:col>10</xdr:col>
      <xdr:colOff>0</xdr:colOff>
      <xdr:row>3</xdr:row>
      <xdr:rowOff>0</xdr:rowOff>
    </xdr:from>
    <xdr:to>
      <xdr:col>10</xdr:col>
      <xdr:colOff>6095520</xdr:colOff>
      <xdr:row>3</xdr:row>
      <xdr:rowOff>4571640</xdr:rowOff>
    </xdr:to>
    <xdr:pic>
      <xdr:nvPicPr>
        <xdr:cNvPr id="1" name="Image 2" descr="Picture"/>
        <xdr:cNvPicPr/>
      </xdr:nvPicPr>
      <xdr:blipFill>
        <a:blip r:embed="rId2"/>
        <a:stretch/>
      </xdr:blipFill>
      <xdr:spPr>
        <a:xfrm>
          <a:off x="23988240" y="4922640"/>
          <a:ext cx="6095520" cy="4571640"/>
        </a:xfrm>
        <a:prstGeom prst="rect">
          <a:avLst/>
        </a:prstGeom>
        <a:ln w="0">
          <a:noFill/>
        </a:ln>
      </xdr:spPr>
    </xdr:pic>
    <xdr:clientData/>
  </xdr:twoCellAnchor>
  <xdr:twoCellAnchor editAs="oneCell">
    <xdr:from>
      <xdr:col>10</xdr:col>
      <xdr:colOff>0</xdr:colOff>
      <xdr:row>4</xdr:row>
      <xdr:rowOff>0</xdr:rowOff>
    </xdr:from>
    <xdr:to>
      <xdr:col>10</xdr:col>
      <xdr:colOff>6095520</xdr:colOff>
      <xdr:row>4</xdr:row>
      <xdr:rowOff>4571640</xdr:rowOff>
    </xdr:to>
    <xdr:pic>
      <xdr:nvPicPr>
        <xdr:cNvPr id="2" name="Image 3" descr="Picture"/>
        <xdr:cNvPicPr/>
      </xdr:nvPicPr>
      <xdr:blipFill>
        <a:blip r:embed="rId3"/>
        <a:stretch/>
      </xdr:blipFill>
      <xdr:spPr>
        <a:xfrm>
          <a:off x="23988240" y="9494640"/>
          <a:ext cx="6095520" cy="4571640"/>
        </a:xfrm>
        <a:prstGeom prst="rect">
          <a:avLst/>
        </a:prstGeom>
        <a:ln w="0">
          <a:noFill/>
        </a:ln>
      </xdr:spPr>
    </xdr:pic>
    <xdr:clientData/>
  </xdr:twoCellAnchor>
  <xdr:twoCellAnchor editAs="oneCell">
    <xdr:from>
      <xdr:col>10</xdr:col>
      <xdr:colOff>0</xdr:colOff>
      <xdr:row>5</xdr:row>
      <xdr:rowOff>0</xdr:rowOff>
    </xdr:from>
    <xdr:to>
      <xdr:col>10</xdr:col>
      <xdr:colOff>6095520</xdr:colOff>
      <xdr:row>5</xdr:row>
      <xdr:rowOff>4571640</xdr:rowOff>
    </xdr:to>
    <xdr:pic>
      <xdr:nvPicPr>
        <xdr:cNvPr id="3" name="Image 4" descr="Picture"/>
        <xdr:cNvPicPr/>
      </xdr:nvPicPr>
      <xdr:blipFill>
        <a:blip r:embed="rId4"/>
        <a:stretch/>
      </xdr:blipFill>
      <xdr:spPr>
        <a:xfrm>
          <a:off x="23988240" y="14066640"/>
          <a:ext cx="6095520" cy="4571640"/>
        </a:xfrm>
        <a:prstGeom prst="rect">
          <a:avLst/>
        </a:prstGeom>
        <a:ln w="0">
          <a:noFill/>
        </a:ln>
      </xdr:spPr>
    </xdr:pic>
    <xdr:clientData/>
  </xdr:twoCellAnchor>
  <xdr:twoCellAnchor editAs="oneCell">
    <xdr:from>
      <xdr:col>10</xdr:col>
      <xdr:colOff>0</xdr:colOff>
      <xdr:row>6</xdr:row>
      <xdr:rowOff>0</xdr:rowOff>
    </xdr:from>
    <xdr:to>
      <xdr:col>10</xdr:col>
      <xdr:colOff>6095520</xdr:colOff>
      <xdr:row>6</xdr:row>
      <xdr:rowOff>4571640</xdr:rowOff>
    </xdr:to>
    <xdr:pic>
      <xdr:nvPicPr>
        <xdr:cNvPr id="4" name="Image 5" descr="Picture"/>
        <xdr:cNvPicPr/>
      </xdr:nvPicPr>
      <xdr:blipFill>
        <a:blip r:embed="rId5"/>
        <a:stretch/>
      </xdr:blipFill>
      <xdr:spPr>
        <a:xfrm>
          <a:off x="23988240" y="18638640"/>
          <a:ext cx="6095520" cy="4571640"/>
        </a:xfrm>
        <a:prstGeom prst="rect">
          <a:avLst/>
        </a:prstGeom>
        <a:ln w="0">
          <a:noFill/>
        </a:ln>
      </xdr:spPr>
    </xdr:pic>
    <xdr:clientData/>
  </xdr:twoCellAnchor>
  <xdr:twoCellAnchor editAs="oneCell">
    <xdr:from>
      <xdr:col>10</xdr:col>
      <xdr:colOff>0</xdr:colOff>
      <xdr:row>7</xdr:row>
      <xdr:rowOff>0</xdr:rowOff>
    </xdr:from>
    <xdr:to>
      <xdr:col>10</xdr:col>
      <xdr:colOff>6095520</xdr:colOff>
      <xdr:row>7</xdr:row>
      <xdr:rowOff>4571640</xdr:rowOff>
    </xdr:to>
    <xdr:pic>
      <xdr:nvPicPr>
        <xdr:cNvPr id="5" name="Image 6" descr="Picture"/>
        <xdr:cNvPicPr/>
      </xdr:nvPicPr>
      <xdr:blipFill>
        <a:blip r:embed="rId6"/>
        <a:stretch/>
      </xdr:blipFill>
      <xdr:spPr>
        <a:xfrm>
          <a:off x="23988240" y="23210640"/>
          <a:ext cx="6095520" cy="4571640"/>
        </a:xfrm>
        <a:prstGeom prst="rect">
          <a:avLst/>
        </a:prstGeom>
        <a:ln w="0">
          <a:noFill/>
        </a:ln>
      </xdr:spPr>
    </xdr:pic>
    <xdr:clientData/>
  </xdr:twoCellAnchor>
  <xdr:twoCellAnchor editAs="oneCell">
    <xdr:from>
      <xdr:col>10</xdr:col>
      <xdr:colOff>0</xdr:colOff>
      <xdr:row>8</xdr:row>
      <xdr:rowOff>0</xdr:rowOff>
    </xdr:from>
    <xdr:to>
      <xdr:col>10</xdr:col>
      <xdr:colOff>6095520</xdr:colOff>
      <xdr:row>8</xdr:row>
      <xdr:rowOff>4571640</xdr:rowOff>
    </xdr:to>
    <xdr:pic>
      <xdr:nvPicPr>
        <xdr:cNvPr id="6" name="Image 7" descr="Picture"/>
        <xdr:cNvPicPr/>
      </xdr:nvPicPr>
      <xdr:blipFill>
        <a:blip r:embed="rId7"/>
        <a:stretch/>
      </xdr:blipFill>
      <xdr:spPr>
        <a:xfrm>
          <a:off x="23988240" y="27782640"/>
          <a:ext cx="6095520" cy="4571640"/>
        </a:xfrm>
        <a:prstGeom prst="rect">
          <a:avLst/>
        </a:prstGeom>
        <a:ln w="0">
          <a:noFill/>
        </a:ln>
      </xdr:spPr>
    </xdr:pic>
    <xdr:clientData/>
  </xdr:twoCellAnchor>
  <xdr:twoCellAnchor editAs="oneCell">
    <xdr:from>
      <xdr:col>10</xdr:col>
      <xdr:colOff>0</xdr:colOff>
      <xdr:row>9</xdr:row>
      <xdr:rowOff>0</xdr:rowOff>
    </xdr:from>
    <xdr:to>
      <xdr:col>10</xdr:col>
      <xdr:colOff>6095520</xdr:colOff>
      <xdr:row>9</xdr:row>
      <xdr:rowOff>4571640</xdr:rowOff>
    </xdr:to>
    <xdr:pic>
      <xdr:nvPicPr>
        <xdr:cNvPr id="7" name="Image 8" descr="Picture"/>
        <xdr:cNvPicPr/>
      </xdr:nvPicPr>
      <xdr:blipFill>
        <a:blip r:embed="rId8"/>
        <a:stretch/>
      </xdr:blipFill>
      <xdr:spPr>
        <a:xfrm>
          <a:off x="23988240" y="32354640"/>
          <a:ext cx="6095520" cy="4571640"/>
        </a:xfrm>
        <a:prstGeom prst="rect">
          <a:avLst/>
        </a:prstGeom>
        <a:ln w="0">
          <a:noFill/>
        </a:ln>
      </xdr:spPr>
    </xdr:pic>
    <xdr:clientData/>
  </xdr:twoCellAnchor>
  <xdr:twoCellAnchor editAs="oneCell">
    <xdr:from>
      <xdr:col>10</xdr:col>
      <xdr:colOff>0</xdr:colOff>
      <xdr:row>10</xdr:row>
      <xdr:rowOff>0</xdr:rowOff>
    </xdr:from>
    <xdr:to>
      <xdr:col>10</xdr:col>
      <xdr:colOff>6095520</xdr:colOff>
      <xdr:row>10</xdr:row>
      <xdr:rowOff>4571640</xdr:rowOff>
    </xdr:to>
    <xdr:pic>
      <xdr:nvPicPr>
        <xdr:cNvPr id="8" name="Image 9" descr="Picture"/>
        <xdr:cNvPicPr/>
      </xdr:nvPicPr>
      <xdr:blipFill>
        <a:blip r:embed="rId9"/>
        <a:stretch/>
      </xdr:blipFill>
      <xdr:spPr>
        <a:xfrm>
          <a:off x="23988240" y="36926640"/>
          <a:ext cx="6095520" cy="4571640"/>
        </a:xfrm>
        <a:prstGeom prst="rect">
          <a:avLst/>
        </a:prstGeom>
        <a:ln w="0">
          <a:noFill/>
        </a:ln>
      </xdr:spPr>
    </xdr:pic>
    <xdr:clientData/>
  </xdr:twoCellAnchor>
  <xdr:twoCellAnchor editAs="oneCell">
    <xdr:from>
      <xdr:col>10</xdr:col>
      <xdr:colOff>0</xdr:colOff>
      <xdr:row>11</xdr:row>
      <xdr:rowOff>0</xdr:rowOff>
    </xdr:from>
    <xdr:to>
      <xdr:col>10</xdr:col>
      <xdr:colOff>6095520</xdr:colOff>
      <xdr:row>11</xdr:row>
      <xdr:rowOff>4571640</xdr:rowOff>
    </xdr:to>
    <xdr:pic>
      <xdr:nvPicPr>
        <xdr:cNvPr id="9" name="Image 10" descr="Picture"/>
        <xdr:cNvPicPr/>
      </xdr:nvPicPr>
      <xdr:blipFill>
        <a:blip r:embed="rId10"/>
        <a:stretch/>
      </xdr:blipFill>
      <xdr:spPr>
        <a:xfrm>
          <a:off x="23988240" y="41498640"/>
          <a:ext cx="6095520" cy="4571640"/>
        </a:xfrm>
        <a:prstGeom prst="rect">
          <a:avLst/>
        </a:prstGeom>
        <a:ln w="0">
          <a:noFill/>
        </a:ln>
      </xdr:spPr>
    </xdr:pic>
    <xdr:clientData/>
  </xdr:twoCellAnchor>
  <xdr:twoCellAnchor editAs="oneCell">
    <xdr:from>
      <xdr:col>10</xdr:col>
      <xdr:colOff>0</xdr:colOff>
      <xdr:row>12</xdr:row>
      <xdr:rowOff>0</xdr:rowOff>
    </xdr:from>
    <xdr:to>
      <xdr:col>10</xdr:col>
      <xdr:colOff>6095520</xdr:colOff>
      <xdr:row>12</xdr:row>
      <xdr:rowOff>4571640</xdr:rowOff>
    </xdr:to>
    <xdr:pic>
      <xdr:nvPicPr>
        <xdr:cNvPr id="10" name="Image 11" descr="Picture"/>
        <xdr:cNvPicPr/>
      </xdr:nvPicPr>
      <xdr:blipFill>
        <a:blip r:embed="rId11"/>
        <a:stretch/>
      </xdr:blipFill>
      <xdr:spPr>
        <a:xfrm>
          <a:off x="23988240" y="46070640"/>
          <a:ext cx="6095520" cy="4571640"/>
        </a:xfrm>
        <a:prstGeom prst="rect">
          <a:avLst/>
        </a:prstGeom>
        <a:ln w="0">
          <a:noFill/>
        </a:ln>
      </xdr:spPr>
    </xdr:pic>
    <xdr:clientData/>
  </xdr:twoCellAnchor>
  <xdr:twoCellAnchor editAs="oneCell">
    <xdr:from>
      <xdr:col>10</xdr:col>
      <xdr:colOff>0</xdr:colOff>
      <xdr:row>13</xdr:row>
      <xdr:rowOff>0</xdr:rowOff>
    </xdr:from>
    <xdr:to>
      <xdr:col>10</xdr:col>
      <xdr:colOff>6095520</xdr:colOff>
      <xdr:row>13</xdr:row>
      <xdr:rowOff>4571640</xdr:rowOff>
    </xdr:to>
    <xdr:pic>
      <xdr:nvPicPr>
        <xdr:cNvPr id="11" name="Image 12" descr="Picture"/>
        <xdr:cNvPicPr/>
      </xdr:nvPicPr>
      <xdr:blipFill>
        <a:blip r:embed="rId12"/>
        <a:stretch/>
      </xdr:blipFill>
      <xdr:spPr>
        <a:xfrm>
          <a:off x="23988240" y="50642640"/>
          <a:ext cx="6095520" cy="4571640"/>
        </a:xfrm>
        <a:prstGeom prst="rect">
          <a:avLst/>
        </a:prstGeom>
        <a:ln w="0">
          <a:noFill/>
        </a:ln>
      </xdr:spPr>
    </xdr:pic>
    <xdr:clientData/>
  </xdr:twoCellAnchor>
  <xdr:twoCellAnchor editAs="oneCell">
    <xdr:from>
      <xdr:col>10</xdr:col>
      <xdr:colOff>0</xdr:colOff>
      <xdr:row>14</xdr:row>
      <xdr:rowOff>0</xdr:rowOff>
    </xdr:from>
    <xdr:to>
      <xdr:col>10</xdr:col>
      <xdr:colOff>6095520</xdr:colOff>
      <xdr:row>14</xdr:row>
      <xdr:rowOff>4571640</xdr:rowOff>
    </xdr:to>
    <xdr:pic>
      <xdr:nvPicPr>
        <xdr:cNvPr id="12" name="Image 13" descr="Picture"/>
        <xdr:cNvPicPr/>
      </xdr:nvPicPr>
      <xdr:blipFill>
        <a:blip r:embed="rId13"/>
        <a:stretch/>
      </xdr:blipFill>
      <xdr:spPr>
        <a:xfrm>
          <a:off x="23988240" y="55214640"/>
          <a:ext cx="6095520" cy="4571640"/>
        </a:xfrm>
        <a:prstGeom prst="rect">
          <a:avLst/>
        </a:prstGeom>
        <a:ln w="0">
          <a:noFill/>
        </a:ln>
      </xdr:spPr>
    </xdr:pic>
    <xdr:clientData/>
  </xdr:twoCellAnchor>
  <xdr:twoCellAnchor editAs="oneCell">
    <xdr:from>
      <xdr:col>10</xdr:col>
      <xdr:colOff>0</xdr:colOff>
      <xdr:row>15</xdr:row>
      <xdr:rowOff>0</xdr:rowOff>
    </xdr:from>
    <xdr:to>
      <xdr:col>10</xdr:col>
      <xdr:colOff>6095520</xdr:colOff>
      <xdr:row>15</xdr:row>
      <xdr:rowOff>4571640</xdr:rowOff>
    </xdr:to>
    <xdr:pic>
      <xdr:nvPicPr>
        <xdr:cNvPr id="13" name="Image 14" descr="Picture"/>
        <xdr:cNvPicPr/>
      </xdr:nvPicPr>
      <xdr:blipFill>
        <a:blip r:embed="rId14"/>
        <a:stretch/>
      </xdr:blipFill>
      <xdr:spPr>
        <a:xfrm>
          <a:off x="23988240" y="59786640"/>
          <a:ext cx="6095520" cy="4571640"/>
        </a:xfrm>
        <a:prstGeom prst="rect">
          <a:avLst/>
        </a:prstGeom>
        <a:ln w="0">
          <a:noFill/>
        </a:ln>
      </xdr:spPr>
    </xdr:pic>
    <xdr:clientData/>
  </xdr:twoCellAnchor>
  <xdr:twoCellAnchor editAs="oneCell">
    <xdr:from>
      <xdr:col>10</xdr:col>
      <xdr:colOff>0</xdr:colOff>
      <xdr:row>16</xdr:row>
      <xdr:rowOff>0</xdr:rowOff>
    </xdr:from>
    <xdr:to>
      <xdr:col>10</xdr:col>
      <xdr:colOff>6095520</xdr:colOff>
      <xdr:row>16</xdr:row>
      <xdr:rowOff>4571640</xdr:rowOff>
    </xdr:to>
    <xdr:pic>
      <xdr:nvPicPr>
        <xdr:cNvPr id="14" name="Image 15" descr="Picture"/>
        <xdr:cNvPicPr/>
      </xdr:nvPicPr>
      <xdr:blipFill>
        <a:blip r:embed="rId15"/>
        <a:stretch/>
      </xdr:blipFill>
      <xdr:spPr>
        <a:xfrm>
          <a:off x="23988240" y="64358640"/>
          <a:ext cx="6095520" cy="4571640"/>
        </a:xfrm>
        <a:prstGeom prst="rect">
          <a:avLst/>
        </a:prstGeom>
        <a:ln w="0">
          <a:noFill/>
        </a:ln>
      </xdr:spPr>
    </xdr:pic>
    <xdr:clientData/>
  </xdr:twoCellAnchor>
  <xdr:twoCellAnchor editAs="oneCell">
    <xdr:from>
      <xdr:col>10</xdr:col>
      <xdr:colOff>0</xdr:colOff>
      <xdr:row>17</xdr:row>
      <xdr:rowOff>0</xdr:rowOff>
    </xdr:from>
    <xdr:to>
      <xdr:col>10</xdr:col>
      <xdr:colOff>6095520</xdr:colOff>
      <xdr:row>17</xdr:row>
      <xdr:rowOff>4571640</xdr:rowOff>
    </xdr:to>
    <xdr:pic>
      <xdr:nvPicPr>
        <xdr:cNvPr id="15" name="Image 16" descr="Picture"/>
        <xdr:cNvPicPr/>
      </xdr:nvPicPr>
      <xdr:blipFill>
        <a:blip r:embed="rId16"/>
        <a:stretch/>
      </xdr:blipFill>
      <xdr:spPr>
        <a:xfrm>
          <a:off x="23988240" y="68930640"/>
          <a:ext cx="6095520" cy="4571640"/>
        </a:xfrm>
        <a:prstGeom prst="rect">
          <a:avLst/>
        </a:prstGeom>
        <a:ln w="0">
          <a:noFill/>
        </a:ln>
      </xdr:spPr>
    </xdr:pic>
    <xdr:clientData/>
  </xdr:twoCellAnchor>
  <xdr:twoCellAnchor editAs="oneCell">
    <xdr:from>
      <xdr:col>10</xdr:col>
      <xdr:colOff>0</xdr:colOff>
      <xdr:row>18</xdr:row>
      <xdr:rowOff>0</xdr:rowOff>
    </xdr:from>
    <xdr:to>
      <xdr:col>10</xdr:col>
      <xdr:colOff>6095520</xdr:colOff>
      <xdr:row>18</xdr:row>
      <xdr:rowOff>4571640</xdr:rowOff>
    </xdr:to>
    <xdr:pic>
      <xdr:nvPicPr>
        <xdr:cNvPr id="16" name="Image 17" descr="Picture"/>
        <xdr:cNvPicPr/>
      </xdr:nvPicPr>
      <xdr:blipFill>
        <a:blip r:embed="rId17"/>
        <a:stretch/>
      </xdr:blipFill>
      <xdr:spPr>
        <a:xfrm>
          <a:off x="23988240" y="73502640"/>
          <a:ext cx="6095520" cy="4571640"/>
        </a:xfrm>
        <a:prstGeom prst="rect">
          <a:avLst/>
        </a:prstGeom>
        <a:ln w="0">
          <a:noFill/>
        </a:ln>
      </xdr:spPr>
    </xdr:pic>
    <xdr:clientData/>
  </xdr:twoCellAnchor>
  <xdr:twoCellAnchor editAs="oneCell">
    <xdr:from>
      <xdr:col>10</xdr:col>
      <xdr:colOff>0</xdr:colOff>
      <xdr:row>19</xdr:row>
      <xdr:rowOff>0</xdr:rowOff>
    </xdr:from>
    <xdr:to>
      <xdr:col>10</xdr:col>
      <xdr:colOff>6095520</xdr:colOff>
      <xdr:row>19</xdr:row>
      <xdr:rowOff>4571640</xdr:rowOff>
    </xdr:to>
    <xdr:pic>
      <xdr:nvPicPr>
        <xdr:cNvPr id="17" name="Image 18" descr="Picture"/>
        <xdr:cNvPicPr/>
      </xdr:nvPicPr>
      <xdr:blipFill>
        <a:blip r:embed="rId18"/>
        <a:stretch/>
      </xdr:blipFill>
      <xdr:spPr>
        <a:xfrm>
          <a:off x="23988240" y="78074640"/>
          <a:ext cx="6095520" cy="4571640"/>
        </a:xfrm>
        <a:prstGeom prst="rect">
          <a:avLst/>
        </a:prstGeom>
        <a:ln w="0">
          <a:noFill/>
        </a:ln>
      </xdr:spPr>
    </xdr:pic>
    <xdr:clientData/>
  </xdr:twoCellAnchor>
  <xdr:twoCellAnchor editAs="oneCell">
    <xdr:from>
      <xdr:col>10</xdr:col>
      <xdr:colOff>0</xdr:colOff>
      <xdr:row>20</xdr:row>
      <xdr:rowOff>0</xdr:rowOff>
    </xdr:from>
    <xdr:to>
      <xdr:col>10</xdr:col>
      <xdr:colOff>6095520</xdr:colOff>
      <xdr:row>20</xdr:row>
      <xdr:rowOff>4571640</xdr:rowOff>
    </xdr:to>
    <xdr:pic>
      <xdr:nvPicPr>
        <xdr:cNvPr id="18" name="Image 19" descr="Picture"/>
        <xdr:cNvPicPr/>
      </xdr:nvPicPr>
      <xdr:blipFill>
        <a:blip r:embed="rId19"/>
        <a:stretch/>
      </xdr:blipFill>
      <xdr:spPr>
        <a:xfrm>
          <a:off x="23988240" y="82646640"/>
          <a:ext cx="6095520" cy="4571640"/>
        </a:xfrm>
        <a:prstGeom prst="rect">
          <a:avLst/>
        </a:prstGeom>
        <a:ln w="0">
          <a:noFill/>
        </a:ln>
      </xdr:spPr>
    </xdr:pic>
    <xdr:clientData/>
  </xdr:twoCellAnchor>
  <xdr:twoCellAnchor editAs="oneCell">
    <xdr:from>
      <xdr:col>10</xdr:col>
      <xdr:colOff>0</xdr:colOff>
      <xdr:row>21</xdr:row>
      <xdr:rowOff>0</xdr:rowOff>
    </xdr:from>
    <xdr:to>
      <xdr:col>10</xdr:col>
      <xdr:colOff>6095520</xdr:colOff>
      <xdr:row>21</xdr:row>
      <xdr:rowOff>4571640</xdr:rowOff>
    </xdr:to>
    <xdr:pic>
      <xdr:nvPicPr>
        <xdr:cNvPr id="19" name="Image 20" descr="Picture"/>
        <xdr:cNvPicPr/>
      </xdr:nvPicPr>
      <xdr:blipFill>
        <a:blip r:embed="rId20"/>
        <a:stretch/>
      </xdr:blipFill>
      <xdr:spPr>
        <a:xfrm>
          <a:off x="23988240" y="87218640"/>
          <a:ext cx="6095520" cy="4571640"/>
        </a:xfrm>
        <a:prstGeom prst="rect">
          <a:avLst/>
        </a:prstGeom>
        <a:ln w="0">
          <a:noFill/>
        </a:ln>
      </xdr:spPr>
    </xdr:pic>
    <xdr:clientData/>
  </xdr:twoCellAnchor>
  <xdr:twoCellAnchor editAs="oneCell">
    <xdr:from>
      <xdr:col>10</xdr:col>
      <xdr:colOff>0</xdr:colOff>
      <xdr:row>22</xdr:row>
      <xdr:rowOff>0</xdr:rowOff>
    </xdr:from>
    <xdr:to>
      <xdr:col>10</xdr:col>
      <xdr:colOff>6095520</xdr:colOff>
      <xdr:row>22</xdr:row>
      <xdr:rowOff>4571640</xdr:rowOff>
    </xdr:to>
    <xdr:pic>
      <xdr:nvPicPr>
        <xdr:cNvPr id="20" name="Image 21" descr="Picture"/>
        <xdr:cNvPicPr/>
      </xdr:nvPicPr>
      <xdr:blipFill>
        <a:blip r:embed="rId21"/>
        <a:stretch/>
      </xdr:blipFill>
      <xdr:spPr>
        <a:xfrm>
          <a:off x="23988240" y="91790640"/>
          <a:ext cx="6095520" cy="4571640"/>
        </a:xfrm>
        <a:prstGeom prst="rect">
          <a:avLst/>
        </a:prstGeom>
        <a:ln w="0">
          <a:noFill/>
        </a:ln>
      </xdr:spPr>
    </xdr:pic>
    <xdr:clientData/>
  </xdr:twoCellAnchor>
  <xdr:twoCellAnchor editAs="oneCell">
    <xdr:from>
      <xdr:col>10</xdr:col>
      <xdr:colOff>0</xdr:colOff>
      <xdr:row>23</xdr:row>
      <xdr:rowOff>0</xdr:rowOff>
    </xdr:from>
    <xdr:to>
      <xdr:col>10</xdr:col>
      <xdr:colOff>6095520</xdr:colOff>
      <xdr:row>23</xdr:row>
      <xdr:rowOff>4571640</xdr:rowOff>
    </xdr:to>
    <xdr:pic>
      <xdr:nvPicPr>
        <xdr:cNvPr id="21" name="Image 22" descr="Picture"/>
        <xdr:cNvPicPr/>
      </xdr:nvPicPr>
      <xdr:blipFill>
        <a:blip r:embed="rId22"/>
        <a:stretch/>
      </xdr:blipFill>
      <xdr:spPr>
        <a:xfrm>
          <a:off x="23988240" y="96362640"/>
          <a:ext cx="6095520" cy="4571640"/>
        </a:xfrm>
        <a:prstGeom prst="rect">
          <a:avLst/>
        </a:prstGeom>
        <a:ln w="0">
          <a:noFill/>
        </a:ln>
      </xdr:spPr>
    </xdr:pic>
    <xdr:clientData/>
  </xdr:twoCellAnchor>
  <xdr:twoCellAnchor editAs="oneCell">
    <xdr:from>
      <xdr:col>10</xdr:col>
      <xdr:colOff>0</xdr:colOff>
      <xdr:row>24</xdr:row>
      <xdr:rowOff>0</xdr:rowOff>
    </xdr:from>
    <xdr:to>
      <xdr:col>10</xdr:col>
      <xdr:colOff>6095520</xdr:colOff>
      <xdr:row>24</xdr:row>
      <xdr:rowOff>4571640</xdr:rowOff>
    </xdr:to>
    <xdr:pic>
      <xdr:nvPicPr>
        <xdr:cNvPr id="22" name="Image 23" descr="Picture"/>
        <xdr:cNvPicPr/>
      </xdr:nvPicPr>
      <xdr:blipFill>
        <a:blip r:embed="rId23"/>
        <a:stretch/>
      </xdr:blipFill>
      <xdr:spPr>
        <a:xfrm>
          <a:off x="23988240" y="100934640"/>
          <a:ext cx="6095520" cy="4571640"/>
        </a:xfrm>
        <a:prstGeom prst="rect">
          <a:avLst/>
        </a:prstGeom>
        <a:ln w="0">
          <a:noFill/>
        </a:ln>
      </xdr:spPr>
    </xdr:pic>
    <xdr:clientData/>
  </xdr:twoCellAnchor>
  <xdr:twoCellAnchor editAs="oneCell">
    <xdr:from>
      <xdr:col>10</xdr:col>
      <xdr:colOff>0</xdr:colOff>
      <xdr:row>25</xdr:row>
      <xdr:rowOff>0</xdr:rowOff>
    </xdr:from>
    <xdr:to>
      <xdr:col>10</xdr:col>
      <xdr:colOff>6095520</xdr:colOff>
      <xdr:row>25</xdr:row>
      <xdr:rowOff>4571640</xdr:rowOff>
    </xdr:to>
    <xdr:pic>
      <xdr:nvPicPr>
        <xdr:cNvPr id="23" name="Image 24" descr="Picture"/>
        <xdr:cNvPicPr/>
      </xdr:nvPicPr>
      <xdr:blipFill>
        <a:blip r:embed="rId24"/>
        <a:stretch/>
      </xdr:blipFill>
      <xdr:spPr>
        <a:xfrm>
          <a:off x="23988240" y="105506640"/>
          <a:ext cx="6095520" cy="4571640"/>
        </a:xfrm>
        <a:prstGeom prst="rect">
          <a:avLst/>
        </a:prstGeom>
        <a:ln w="0">
          <a:noFill/>
        </a:ln>
      </xdr:spPr>
    </xdr:pic>
    <xdr:clientData/>
  </xdr:twoCellAnchor>
  <xdr:twoCellAnchor editAs="oneCell">
    <xdr:from>
      <xdr:col>10</xdr:col>
      <xdr:colOff>0</xdr:colOff>
      <xdr:row>26</xdr:row>
      <xdr:rowOff>0</xdr:rowOff>
    </xdr:from>
    <xdr:to>
      <xdr:col>10</xdr:col>
      <xdr:colOff>6095520</xdr:colOff>
      <xdr:row>26</xdr:row>
      <xdr:rowOff>4571640</xdr:rowOff>
    </xdr:to>
    <xdr:pic>
      <xdr:nvPicPr>
        <xdr:cNvPr id="24" name="Image 25" descr="Picture"/>
        <xdr:cNvPicPr/>
      </xdr:nvPicPr>
      <xdr:blipFill>
        <a:blip r:embed="rId25"/>
        <a:stretch/>
      </xdr:blipFill>
      <xdr:spPr>
        <a:xfrm>
          <a:off x="23988240" y="110078640"/>
          <a:ext cx="6095520" cy="4571640"/>
        </a:xfrm>
        <a:prstGeom prst="rect">
          <a:avLst/>
        </a:prstGeom>
        <a:ln w="0">
          <a:noFill/>
        </a:ln>
      </xdr:spPr>
    </xdr:pic>
    <xdr:clientData/>
  </xdr:twoCellAnchor>
  <xdr:twoCellAnchor editAs="oneCell">
    <xdr:from>
      <xdr:col>10</xdr:col>
      <xdr:colOff>0</xdr:colOff>
      <xdr:row>27</xdr:row>
      <xdr:rowOff>0</xdr:rowOff>
    </xdr:from>
    <xdr:to>
      <xdr:col>10</xdr:col>
      <xdr:colOff>6095520</xdr:colOff>
      <xdr:row>27</xdr:row>
      <xdr:rowOff>4571640</xdr:rowOff>
    </xdr:to>
    <xdr:pic>
      <xdr:nvPicPr>
        <xdr:cNvPr id="25" name="Image 26" descr="Picture"/>
        <xdr:cNvPicPr/>
      </xdr:nvPicPr>
      <xdr:blipFill>
        <a:blip r:embed="rId26"/>
        <a:stretch/>
      </xdr:blipFill>
      <xdr:spPr>
        <a:xfrm>
          <a:off x="23988240" y="114650640"/>
          <a:ext cx="6095520" cy="4571640"/>
        </a:xfrm>
        <a:prstGeom prst="rect">
          <a:avLst/>
        </a:prstGeom>
        <a:ln w="0">
          <a:noFill/>
        </a:ln>
      </xdr:spPr>
    </xdr:pic>
    <xdr:clientData/>
  </xdr:twoCellAnchor>
  <xdr:twoCellAnchor editAs="oneCell">
    <xdr:from>
      <xdr:col>10</xdr:col>
      <xdr:colOff>0</xdr:colOff>
      <xdr:row>28</xdr:row>
      <xdr:rowOff>0</xdr:rowOff>
    </xdr:from>
    <xdr:to>
      <xdr:col>10</xdr:col>
      <xdr:colOff>6095520</xdr:colOff>
      <xdr:row>28</xdr:row>
      <xdr:rowOff>4571640</xdr:rowOff>
    </xdr:to>
    <xdr:pic>
      <xdr:nvPicPr>
        <xdr:cNvPr id="26" name="Image 27" descr="Picture"/>
        <xdr:cNvPicPr/>
      </xdr:nvPicPr>
      <xdr:blipFill>
        <a:blip r:embed="rId27"/>
        <a:stretch/>
      </xdr:blipFill>
      <xdr:spPr>
        <a:xfrm>
          <a:off x="23988240" y="119222640"/>
          <a:ext cx="6095520" cy="4571640"/>
        </a:xfrm>
        <a:prstGeom prst="rect">
          <a:avLst/>
        </a:prstGeom>
        <a:ln w="0">
          <a:noFill/>
        </a:ln>
      </xdr:spPr>
    </xdr:pic>
    <xdr:clientData/>
  </xdr:twoCellAnchor>
  <xdr:twoCellAnchor editAs="oneCell">
    <xdr:from>
      <xdr:col>10</xdr:col>
      <xdr:colOff>0</xdr:colOff>
      <xdr:row>29</xdr:row>
      <xdr:rowOff>0</xdr:rowOff>
    </xdr:from>
    <xdr:to>
      <xdr:col>10</xdr:col>
      <xdr:colOff>6095520</xdr:colOff>
      <xdr:row>29</xdr:row>
      <xdr:rowOff>4571640</xdr:rowOff>
    </xdr:to>
    <xdr:pic>
      <xdr:nvPicPr>
        <xdr:cNvPr id="27" name="Image 28" descr="Picture"/>
        <xdr:cNvPicPr/>
      </xdr:nvPicPr>
      <xdr:blipFill>
        <a:blip r:embed="rId28"/>
        <a:stretch/>
      </xdr:blipFill>
      <xdr:spPr>
        <a:xfrm>
          <a:off x="23988240" y="123794640"/>
          <a:ext cx="6095520" cy="4571640"/>
        </a:xfrm>
        <a:prstGeom prst="rect">
          <a:avLst/>
        </a:prstGeom>
        <a:ln w="0">
          <a:noFill/>
        </a:ln>
      </xdr:spPr>
    </xdr:pic>
    <xdr:clientData/>
  </xdr:twoCellAnchor>
  <xdr:twoCellAnchor editAs="oneCell">
    <xdr:from>
      <xdr:col>10</xdr:col>
      <xdr:colOff>0</xdr:colOff>
      <xdr:row>30</xdr:row>
      <xdr:rowOff>0</xdr:rowOff>
    </xdr:from>
    <xdr:to>
      <xdr:col>10</xdr:col>
      <xdr:colOff>6095520</xdr:colOff>
      <xdr:row>30</xdr:row>
      <xdr:rowOff>4571640</xdr:rowOff>
    </xdr:to>
    <xdr:pic>
      <xdr:nvPicPr>
        <xdr:cNvPr id="28" name="Image 29" descr="Picture"/>
        <xdr:cNvPicPr/>
      </xdr:nvPicPr>
      <xdr:blipFill>
        <a:blip r:embed="rId29"/>
        <a:stretch/>
      </xdr:blipFill>
      <xdr:spPr>
        <a:xfrm>
          <a:off x="23988240" y="128366640"/>
          <a:ext cx="6095520" cy="4571640"/>
        </a:xfrm>
        <a:prstGeom prst="rect">
          <a:avLst/>
        </a:prstGeom>
        <a:ln w="0">
          <a:noFill/>
        </a:ln>
      </xdr:spPr>
    </xdr:pic>
    <xdr:clientData/>
  </xdr:twoCellAnchor>
  <xdr:twoCellAnchor editAs="oneCell">
    <xdr:from>
      <xdr:col>10</xdr:col>
      <xdr:colOff>0</xdr:colOff>
      <xdr:row>31</xdr:row>
      <xdr:rowOff>0</xdr:rowOff>
    </xdr:from>
    <xdr:to>
      <xdr:col>10</xdr:col>
      <xdr:colOff>6095520</xdr:colOff>
      <xdr:row>31</xdr:row>
      <xdr:rowOff>4571640</xdr:rowOff>
    </xdr:to>
    <xdr:pic>
      <xdr:nvPicPr>
        <xdr:cNvPr id="29" name="Image 30" descr="Picture"/>
        <xdr:cNvPicPr/>
      </xdr:nvPicPr>
      <xdr:blipFill>
        <a:blip r:embed="rId30"/>
        <a:stretch/>
      </xdr:blipFill>
      <xdr:spPr>
        <a:xfrm>
          <a:off x="23988240" y="132938640"/>
          <a:ext cx="6095520" cy="4571640"/>
        </a:xfrm>
        <a:prstGeom prst="rect">
          <a:avLst/>
        </a:prstGeom>
        <a:ln w="0">
          <a:noFill/>
        </a:ln>
      </xdr:spPr>
    </xdr:pic>
    <xdr:clientData/>
  </xdr:twoCellAnchor>
  <xdr:twoCellAnchor editAs="oneCell">
    <xdr:from>
      <xdr:col>0</xdr:col>
      <xdr:colOff>0</xdr:colOff>
      <xdr:row>32</xdr:row>
      <xdr:rowOff>0</xdr:rowOff>
    </xdr:from>
    <xdr:to>
      <xdr:col>0</xdr:col>
      <xdr:colOff>6095520</xdr:colOff>
      <xdr:row>58</xdr:row>
      <xdr:rowOff>15120</xdr:rowOff>
    </xdr:to>
    <xdr:pic>
      <xdr:nvPicPr>
        <xdr:cNvPr id="30" name="Image 31" descr="Picture"/>
        <xdr:cNvPicPr/>
      </xdr:nvPicPr>
      <xdr:blipFill>
        <a:blip r:embed="rId31"/>
        <a:stretch/>
      </xdr:blipFill>
      <xdr:spPr>
        <a:xfrm>
          <a:off x="0" y="137510640"/>
          <a:ext cx="6095520" cy="4571640"/>
        </a:xfrm>
        <a:prstGeom prst="rect">
          <a:avLst/>
        </a:prstGeom>
        <a:ln w="0">
          <a:noFill/>
        </a:ln>
      </xdr:spPr>
    </xdr:pic>
    <xdr:clientData/>
  </xdr:twoCellAnchor>
</xdr:wsDr>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5" zeroHeight="false" outlineLevelRow="0" outlineLevelCol="0"/>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L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3.8" zeroHeight="false" outlineLevelRow="0" outlineLevelCol="0"/>
  <cols>
    <col collapsed="false" customWidth="true" hidden="false" outlineLevel="0" max="1" min="1" style="0" width="86.73"/>
    <col collapsed="false" customWidth="true" hidden="false" outlineLevel="0" max="2" min="2" style="0" width="7.26"/>
    <col collapsed="false" customWidth="true" hidden="false" outlineLevel="0" max="3" min="3" style="0" width="18.52"/>
    <col collapsed="false" customWidth="true" hidden="false" outlineLevel="0" max="4" min="4" style="0" width="86.73"/>
    <col collapsed="false" customWidth="true" hidden="false" outlineLevel="0" max="5" min="5" style="0" width="9.07"/>
    <col collapsed="false" customWidth="true" hidden="false" outlineLevel="0" max="6" min="6" style="0" width="36.17"/>
    <col collapsed="false" customWidth="true" hidden="false" outlineLevel="0" max="7" min="7" style="0" width="6.57"/>
    <col collapsed="false" customWidth="true" hidden="false" outlineLevel="0" max="8" min="8" style="0" width="33.39"/>
    <col collapsed="false" customWidth="true" hidden="false" outlineLevel="0" max="9" min="9" style="0" width="19.91"/>
    <col collapsed="false" customWidth="true" hidden="false" outlineLevel="0" max="10" min="10" style="0" width="35.61"/>
    <col collapsed="false" customWidth="true" hidden="false" outlineLevel="0" max="11" min="11" style="0" width="88.91"/>
    <col collapsed="false" customWidth="true" hidden="false" outlineLevel="0" max="12" min="12" style="1" width="10.73"/>
  </cols>
  <sheetData>
    <row r="1" customFormat="false" ht="13.8" hidden="false" customHeight="false" outlineLevel="0" collapsed="false">
      <c r="A1" s="0" t="s">
        <v>0</v>
      </c>
      <c r="B1" s="0" t="s">
        <v>1</v>
      </c>
      <c r="C1" s="0" t="s">
        <v>2</v>
      </c>
      <c r="D1" s="0" t="s">
        <v>3</v>
      </c>
      <c r="E1" s="0" t="s">
        <v>4</v>
      </c>
      <c r="F1" s="0" t="s">
        <v>5</v>
      </c>
      <c r="G1" s="0" t="s">
        <v>6</v>
      </c>
      <c r="H1" s="0" t="s">
        <v>7</v>
      </c>
      <c r="I1" s="0" t="s">
        <v>8</v>
      </c>
      <c r="J1" s="0" t="s">
        <v>9</v>
      </c>
      <c r="K1" s="0" t="s">
        <v>10</v>
      </c>
      <c r="L1" s="1" t="s">
        <v>11</v>
      </c>
    </row>
    <row r="2" customFormat="false" ht="13.8" hidden="false" customHeight="false" outlineLevel="0" collapsed="false">
      <c r="A2" s="0" t="s">
        <v>12</v>
      </c>
      <c r="D2" s="0" t="n">
        <v>0.713550600343053</v>
      </c>
      <c r="E2" s="0" t="n">
        <v>0</v>
      </c>
      <c r="F2" s="0" t="n">
        <v>1</v>
      </c>
      <c r="G2" s="0" t="n">
        <v>0</v>
      </c>
      <c r="H2" s="0" t="n">
        <v>0.832832832832833</v>
      </c>
      <c r="I2" s="0" t="n">
        <v>0</v>
      </c>
    </row>
    <row r="3" customFormat="false" ht="360" hidden="false" customHeight="true" outlineLevel="0" collapsed="false">
      <c r="A3" s="2" t="s">
        <v>13</v>
      </c>
      <c r="B3" s="3" t="b">
        <f aca="false">TRUE()</f>
        <v>1</v>
      </c>
      <c r="C3" s="0" t="n">
        <v>11</v>
      </c>
      <c r="D3" s="0" t="s">
        <v>14</v>
      </c>
      <c r="E3" s="0" t="n">
        <v>1</v>
      </c>
      <c r="F3" s="0" t="n">
        <v>40.1442307692308</v>
      </c>
      <c r="G3" s="0" t="n">
        <v>1</v>
      </c>
      <c r="H3" s="0" t="n">
        <v>0</v>
      </c>
      <c r="I3" s="0" t="n">
        <v>1</v>
      </c>
      <c r="J3" s="0" t="n">
        <v>20.0721153846154</v>
      </c>
      <c r="L3" s="4" t="s">
        <v>15</v>
      </c>
    </row>
    <row r="4" customFormat="false" ht="360" hidden="false" customHeight="true" outlineLevel="0" collapsed="false">
      <c r="A4" s="2" t="s">
        <v>13</v>
      </c>
      <c r="B4" s="3" t="b">
        <f aca="false">FALSE()</f>
        <v>0</v>
      </c>
      <c r="C4" s="0" t="n">
        <v>11</v>
      </c>
      <c r="D4" s="0" t="s">
        <v>16</v>
      </c>
      <c r="E4" s="0" t="n">
        <v>1</v>
      </c>
      <c r="F4" s="0" t="n">
        <v>40.1442307692308</v>
      </c>
      <c r="G4" s="0" t="n">
        <v>0.992</v>
      </c>
      <c r="H4" s="0" t="n">
        <v>-0.799999999999997</v>
      </c>
      <c r="I4" s="0" t="n">
        <v>0.995983935742972</v>
      </c>
      <c r="J4" s="0" t="n">
        <v>19.5898980537535</v>
      </c>
      <c r="L4" s="4" t="s">
        <v>17</v>
      </c>
    </row>
    <row r="5" customFormat="false" ht="360" hidden="false" customHeight="true" outlineLevel="0" collapsed="false">
      <c r="A5" s="2" t="s">
        <v>18</v>
      </c>
      <c r="B5" s="3" t="b">
        <f aca="false">TRUE()</f>
        <v>1</v>
      </c>
      <c r="C5" s="0" t="n">
        <v>11</v>
      </c>
      <c r="D5" s="0" t="s">
        <v>19</v>
      </c>
      <c r="E5" s="0" t="n">
        <v>1</v>
      </c>
      <c r="F5" s="0" t="n">
        <v>40.1442307692308</v>
      </c>
      <c r="G5" s="0" t="n">
        <v>1</v>
      </c>
      <c r="H5" s="0" t="n">
        <v>0</v>
      </c>
      <c r="I5" s="0" t="n">
        <v>1</v>
      </c>
      <c r="J5" s="0" t="n">
        <v>20.0721153846154</v>
      </c>
    </row>
    <row r="6" customFormat="false" ht="360" hidden="false" customHeight="true" outlineLevel="0" collapsed="false">
      <c r="A6" s="2" t="s">
        <v>18</v>
      </c>
      <c r="B6" s="3" t="b">
        <f aca="false">FALSE()</f>
        <v>0</v>
      </c>
      <c r="C6" s="0" t="n">
        <v>11</v>
      </c>
      <c r="D6" s="0" t="s">
        <v>19</v>
      </c>
      <c r="E6" s="0" t="n">
        <v>1</v>
      </c>
      <c r="F6" s="0" t="n">
        <v>40.1442307692308</v>
      </c>
      <c r="G6" s="0" t="n">
        <v>1</v>
      </c>
      <c r="H6" s="0" t="n">
        <v>0</v>
      </c>
      <c r="I6" s="0" t="n">
        <v>1</v>
      </c>
      <c r="J6" s="0" t="n">
        <v>20.0721153846154</v>
      </c>
    </row>
    <row r="7" customFormat="false" ht="360" hidden="false" customHeight="true" outlineLevel="0" collapsed="false">
      <c r="A7" s="2" t="s">
        <v>20</v>
      </c>
      <c r="B7" s="3" t="b">
        <f aca="false">TRUE()</f>
        <v>1</v>
      </c>
      <c r="C7" s="0" t="n">
        <v>11</v>
      </c>
      <c r="D7" s="0" t="s">
        <v>21</v>
      </c>
      <c r="E7" s="0" t="n">
        <v>1</v>
      </c>
      <c r="F7" s="0" t="n">
        <v>40.1442307692308</v>
      </c>
      <c r="G7" s="0" t="n">
        <v>1</v>
      </c>
      <c r="H7" s="0" t="n">
        <v>0</v>
      </c>
      <c r="I7" s="0" t="n">
        <v>1</v>
      </c>
      <c r="J7" s="0" t="n">
        <v>20.0721153846154</v>
      </c>
    </row>
    <row r="8" customFormat="false" ht="360" hidden="false" customHeight="true" outlineLevel="0" collapsed="false">
      <c r="A8" s="2" t="s">
        <v>20</v>
      </c>
      <c r="B8" s="3" t="b">
        <f aca="false">FALSE()</f>
        <v>0</v>
      </c>
      <c r="C8" s="0" t="n">
        <v>11</v>
      </c>
      <c r="D8" s="0" t="s">
        <v>22</v>
      </c>
      <c r="E8" s="0" t="n">
        <v>1</v>
      </c>
      <c r="F8" s="0" t="n">
        <v>40.1442307692308</v>
      </c>
      <c r="G8" s="0" t="n">
        <v>1</v>
      </c>
      <c r="H8" s="0" t="n">
        <v>0</v>
      </c>
      <c r="I8" s="0" t="n">
        <v>1</v>
      </c>
      <c r="J8" s="0" t="n">
        <v>20.0721153846154</v>
      </c>
    </row>
    <row r="9" customFormat="false" ht="360" hidden="false" customHeight="true" outlineLevel="0" collapsed="false">
      <c r="A9" s="2" t="s">
        <v>23</v>
      </c>
      <c r="B9" s="3" t="b">
        <f aca="false">TRUE()</f>
        <v>1</v>
      </c>
      <c r="C9" s="0" t="n">
        <v>11</v>
      </c>
      <c r="D9" s="0" t="s">
        <v>24</v>
      </c>
      <c r="E9" s="0" t="n">
        <v>1</v>
      </c>
      <c r="F9" s="0" t="n">
        <v>40.1442307692308</v>
      </c>
      <c r="G9" s="0" t="n">
        <v>1</v>
      </c>
      <c r="H9" s="0" t="n">
        <v>0</v>
      </c>
      <c r="I9" s="0" t="n">
        <v>1</v>
      </c>
      <c r="J9" s="0" t="n">
        <v>20.0721153846154</v>
      </c>
    </row>
    <row r="10" customFormat="false" ht="360" hidden="false" customHeight="true" outlineLevel="0" collapsed="false">
      <c r="A10" s="2" t="s">
        <v>23</v>
      </c>
      <c r="B10" s="3" t="b">
        <f aca="false">TRUE()</f>
        <v>1</v>
      </c>
      <c r="C10" s="0" t="n">
        <v>11</v>
      </c>
      <c r="D10" s="0" t="s">
        <v>24</v>
      </c>
      <c r="E10" s="0" t="n">
        <v>1</v>
      </c>
      <c r="F10" s="0" t="n">
        <v>40.1442307692308</v>
      </c>
      <c r="G10" s="0" t="n">
        <v>1</v>
      </c>
      <c r="H10" s="0" t="n">
        <v>0</v>
      </c>
      <c r="I10" s="0" t="n">
        <v>1</v>
      </c>
      <c r="J10" s="0" t="n">
        <v>20.0721153846154</v>
      </c>
    </row>
    <row r="11" customFormat="false" ht="360" hidden="false" customHeight="true" outlineLevel="0" collapsed="false">
      <c r="A11" s="2" t="s">
        <v>23</v>
      </c>
      <c r="B11" s="3" t="b">
        <f aca="false">FALSE()</f>
        <v>0</v>
      </c>
      <c r="C11" s="0" t="n">
        <v>11</v>
      </c>
      <c r="D11" s="0" t="s">
        <v>24</v>
      </c>
      <c r="E11" s="0" t="n">
        <v>1</v>
      </c>
      <c r="F11" s="0" t="n">
        <v>40.1442307692308</v>
      </c>
      <c r="G11" s="0" t="n">
        <v>1</v>
      </c>
      <c r="H11" s="0" t="n">
        <v>0</v>
      </c>
      <c r="I11" s="0" t="n">
        <v>1</v>
      </c>
      <c r="J11" s="0" t="n">
        <v>20.0721153846154</v>
      </c>
    </row>
    <row r="12" customFormat="false" ht="360" hidden="false" customHeight="true" outlineLevel="0" collapsed="false">
      <c r="A12" s="2" t="s">
        <v>23</v>
      </c>
      <c r="B12" s="3" t="b">
        <f aca="false">FALSE()</f>
        <v>0</v>
      </c>
      <c r="C12" s="0" t="n">
        <v>11</v>
      </c>
      <c r="D12" s="0" t="s">
        <v>24</v>
      </c>
      <c r="E12" s="0" t="n">
        <v>1</v>
      </c>
      <c r="F12" s="0" t="n">
        <v>40.1442307692308</v>
      </c>
      <c r="G12" s="0" t="n">
        <v>1</v>
      </c>
      <c r="H12" s="0" t="n">
        <v>0</v>
      </c>
      <c r="I12" s="0" t="n">
        <v>1</v>
      </c>
      <c r="J12" s="0" t="n">
        <v>20.0721153846154</v>
      </c>
    </row>
    <row r="13" customFormat="false" ht="360" hidden="false" customHeight="true" outlineLevel="0" collapsed="false">
      <c r="A13" s="2" t="s">
        <v>25</v>
      </c>
      <c r="B13" s="3" t="b">
        <f aca="false">TRUE()</f>
        <v>1</v>
      </c>
      <c r="C13" s="0" t="n">
        <v>8</v>
      </c>
      <c r="D13" s="0" t="s">
        <v>14</v>
      </c>
      <c r="E13" s="0" t="n">
        <v>1</v>
      </c>
      <c r="F13" s="0" t="n">
        <v>40.1442307692308</v>
      </c>
      <c r="G13" s="0" t="n">
        <v>1</v>
      </c>
      <c r="H13" s="0" t="n">
        <v>0</v>
      </c>
      <c r="I13" s="0" t="n">
        <v>1</v>
      </c>
      <c r="J13" s="0" t="n">
        <v>20.0721153846154</v>
      </c>
    </row>
    <row r="14" customFormat="false" ht="360" hidden="false" customHeight="true" outlineLevel="0" collapsed="false">
      <c r="A14" s="2" t="s">
        <v>25</v>
      </c>
      <c r="B14" s="3" t="b">
        <f aca="false">FALSE()</f>
        <v>0</v>
      </c>
      <c r="C14" s="0" t="n">
        <v>8</v>
      </c>
      <c r="D14" s="0" t="s">
        <v>16</v>
      </c>
      <c r="E14" s="0" t="n">
        <v>1</v>
      </c>
      <c r="F14" s="0" t="n">
        <v>40.1442307692308</v>
      </c>
      <c r="G14" s="0" t="n">
        <v>1</v>
      </c>
      <c r="H14" s="0" t="n">
        <v>0</v>
      </c>
      <c r="I14" s="0" t="n">
        <v>1</v>
      </c>
      <c r="J14" s="0" t="n">
        <v>20.0721153846154</v>
      </c>
      <c r="L14" s="5"/>
    </row>
    <row r="15" customFormat="false" ht="360" hidden="false" customHeight="true" outlineLevel="0" collapsed="false">
      <c r="A15" s="2" t="s">
        <v>26</v>
      </c>
      <c r="B15" s="3" t="b">
        <f aca="false">TRUE()</f>
        <v>1</v>
      </c>
      <c r="C15" s="0" t="n">
        <v>8</v>
      </c>
      <c r="D15" s="0" t="s">
        <v>27</v>
      </c>
      <c r="E15" s="0" t="n">
        <v>1</v>
      </c>
      <c r="F15" s="0" t="n">
        <v>40.1442307692308</v>
      </c>
      <c r="G15" s="0" t="n">
        <v>1</v>
      </c>
      <c r="H15" s="0" t="n">
        <v>0</v>
      </c>
      <c r="I15" s="0" t="n">
        <v>1</v>
      </c>
      <c r="J15" s="0" t="n">
        <v>20.0721153846154</v>
      </c>
    </row>
    <row r="16" customFormat="false" ht="360" hidden="false" customHeight="true" outlineLevel="0" collapsed="false">
      <c r="A16" s="2" t="s">
        <v>26</v>
      </c>
      <c r="B16" s="3" t="b">
        <f aca="false">FALSE()</f>
        <v>0</v>
      </c>
      <c r="C16" s="0" t="n">
        <v>8</v>
      </c>
      <c r="D16" s="0" t="s">
        <v>28</v>
      </c>
      <c r="E16" s="0" t="n">
        <v>1</v>
      </c>
      <c r="F16" s="0" t="n">
        <v>40.1442307692308</v>
      </c>
      <c r="G16" s="0" t="n">
        <v>1</v>
      </c>
      <c r="H16" s="0" t="n">
        <v>0</v>
      </c>
      <c r="I16" s="0" t="n">
        <v>1</v>
      </c>
      <c r="J16" s="0" t="n">
        <v>20.0721153846154</v>
      </c>
    </row>
    <row r="17" customFormat="false" ht="360" hidden="false" customHeight="true" outlineLevel="0" collapsed="false">
      <c r="A17" s="2" t="s">
        <v>29</v>
      </c>
      <c r="B17" s="3" t="b">
        <f aca="false">TRUE()</f>
        <v>1</v>
      </c>
      <c r="C17" s="0" t="n">
        <v>8</v>
      </c>
      <c r="D17" s="0" t="s">
        <v>30</v>
      </c>
      <c r="E17" s="0" t="n">
        <v>1</v>
      </c>
      <c r="F17" s="0" t="n">
        <v>40.1442307692308</v>
      </c>
      <c r="G17" s="0" t="n">
        <v>1</v>
      </c>
      <c r="H17" s="0" t="n">
        <v>0</v>
      </c>
      <c r="I17" s="0" t="n">
        <v>1</v>
      </c>
      <c r="J17" s="0" t="n">
        <v>20.0721153846154</v>
      </c>
    </row>
    <row r="18" customFormat="false" ht="360" hidden="false" customHeight="true" outlineLevel="0" collapsed="false">
      <c r="A18" s="2" t="s">
        <v>29</v>
      </c>
      <c r="B18" s="3" t="b">
        <f aca="false">FALSE()</f>
        <v>0</v>
      </c>
      <c r="C18" s="0" t="n">
        <v>8</v>
      </c>
      <c r="D18" s="0" t="s">
        <v>31</v>
      </c>
      <c r="E18" s="0" t="n">
        <v>1</v>
      </c>
      <c r="F18" s="0" t="n">
        <v>40.1442307692308</v>
      </c>
      <c r="G18" s="0" t="n">
        <v>1</v>
      </c>
      <c r="H18" s="0" t="n">
        <v>0</v>
      </c>
      <c r="I18" s="0" t="n">
        <v>1</v>
      </c>
      <c r="J18" s="0" t="n">
        <v>20.0721153846154</v>
      </c>
    </row>
    <row r="19" customFormat="false" ht="360" hidden="false" customHeight="true" outlineLevel="0" collapsed="false">
      <c r="A19" s="2" t="s">
        <v>32</v>
      </c>
      <c r="B19" s="3" t="b">
        <f aca="false">TRUE()</f>
        <v>1</v>
      </c>
      <c r="C19" s="0" t="n">
        <v>8</v>
      </c>
      <c r="D19" s="0" t="s">
        <v>24</v>
      </c>
      <c r="E19" s="0" t="n">
        <v>1</v>
      </c>
      <c r="F19" s="0" t="n">
        <v>40.1442307692308</v>
      </c>
      <c r="G19" s="0" t="n">
        <v>1</v>
      </c>
      <c r="H19" s="0" t="n">
        <v>0</v>
      </c>
      <c r="I19" s="0" t="n">
        <v>1</v>
      </c>
      <c r="J19" s="0" t="n">
        <v>20.0721153846154</v>
      </c>
    </row>
    <row r="20" customFormat="false" ht="360" hidden="false" customHeight="true" outlineLevel="0" collapsed="false">
      <c r="A20" s="2" t="s">
        <v>32</v>
      </c>
      <c r="B20" s="3" t="b">
        <f aca="false">TRUE()</f>
        <v>1</v>
      </c>
      <c r="C20" s="0" t="n">
        <v>8</v>
      </c>
      <c r="D20" s="0" t="s">
        <v>24</v>
      </c>
      <c r="E20" s="0" t="n">
        <v>1</v>
      </c>
      <c r="F20" s="0" t="n">
        <v>40.1442307692308</v>
      </c>
      <c r="G20" s="0" t="n">
        <v>1</v>
      </c>
      <c r="H20" s="0" t="n">
        <v>0</v>
      </c>
      <c r="I20" s="0" t="n">
        <v>1</v>
      </c>
      <c r="J20" s="0" t="n">
        <v>20.0721153846154</v>
      </c>
    </row>
    <row r="21" customFormat="false" ht="360" hidden="false" customHeight="true" outlineLevel="0" collapsed="false">
      <c r="A21" s="2" t="s">
        <v>32</v>
      </c>
      <c r="B21" s="3" t="b">
        <f aca="false">FALSE()</f>
        <v>0</v>
      </c>
      <c r="C21" s="0" t="n">
        <v>8</v>
      </c>
      <c r="D21" s="0" t="s">
        <v>24</v>
      </c>
      <c r="E21" s="0" t="n">
        <v>1</v>
      </c>
      <c r="F21" s="0" t="n">
        <v>40.1442307692308</v>
      </c>
      <c r="G21" s="0" t="n">
        <v>1</v>
      </c>
      <c r="H21" s="0" t="n">
        <v>0</v>
      </c>
      <c r="I21" s="0" t="n">
        <v>1</v>
      </c>
      <c r="J21" s="0" t="n">
        <v>20.0721153846154</v>
      </c>
    </row>
    <row r="22" customFormat="false" ht="360" hidden="false" customHeight="true" outlineLevel="0" collapsed="false">
      <c r="A22" s="2" t="s">
        <v>32</v>
      </c>
      <c r="B22" s="3" t="b">
        <f aca="false">FALSE()</f>
        <v>0</v>
      </c>
      <c r="C22" s="0" t="n">
        <v>8</v>
      </c>
      <c r="D22" s="0" t="s">
        <v>24</v>
      </c>
      <c r="E22" s="0" t="n">
        <v>1</v>
      </c>
      <c r="F22" s="0" t="n">
        <v>40.1442307692308</v>
      </c>
      <c r="G22" s="0" t="n">
        <v>1</v>
      </c>
      <c r="H22" s="0" t="n">
        <v>0</v>
      </c>
      <c r="I22" s="0" t="n">
        <v>1</v>
      </c>
      <c r="J22" s="0" t="n">
        <v>20.0721153846154</v>
      </c>
    </row>
    <row r="23" s="6" customFormat="true" ht="360" hidden="false" customHeight="true" outlineLevel="0" collapsed="false">
      <c r="A23" s="6" t="s">
        <v>33</v>
      </c>
      <c r="B23" s="7" t="b">
        <f aca="false">TRUE()</f>
        <v>1</v>
      </c>
      <c r="C23" s="6" t="n">
        <v>7</v>
      </c>
      <c r="D23" s="6" t="s">
        <v>14</v>
      </c>
      <c r="E23" s="6" t="n">
        <v>1</v>
      </c>
      <c r="F23" s="6" t="n">
        <v>40.1442307692308</v>
      </c>
      <c r="G23" s="6" t="n">
        <v>1</v>
      </c>
      <c r="H23" s="6" t="n">
        <v>0</v>
      </c>
      <c r="I23" s="6" t="n">
        <v>1</v>
      </c>
      <c r="J23" s="6" t="n">
        <v>20.0721153846154</v>
      </c>
      <c r="L23" s="8" t="s">
        <v>34</v>
      </c>
    </row>
    <row r="24" customFormat="false" ht="360" hidden="false" customHeight="true" outlineLevel="0" collapsed="false">
      <c r="A24" s="0" t="s">
        <v>33</v>
      </c>
      <c r="B24" s="3" t="b">
        <f aca="false">FALSE()</f>
        <v>0</v>
      </c>
      <c r="C24" s="0" t="n">
        <v>7</v>
      </c>
      <c r="D24" s="0" t="s">
        <v>16</v>
      </c>
      <c r="E24" s="0" t="n">
        <v>1</v>
      </c>
      <c r="F24" s="0" t="n">
        <v>40.1442307692308</v>
      </c>
      <c r="G24" s="0" t="n">
        <v>1</v>
      </c>
      <c r="H24" s="0" t="n">
        <v>0</v>
      </c>
      <c r="I24" s="0" t="n">
        <v>1</v>
      </c>
      <c r="J24" s="0" t="n">
        <v>20.0721153846154</v>
      </c>
    </row>
    <row r="25" customFormat="false" ht="360" hidden="false" customHeight="true" outlineLevel="0" collapsed="false">
      <c r="A25" s="0" t="s">
        <v>35</v>
      </c>
      <c r="B25" s="3" t="b">
        <f aca="false">TRUE()</f>
        <v>1</v>
      </c>
      <c r="C25" s="0" t="n">
        <v>7</v>
      </c>
      <c r="D25" s="0" t="s">
        <v>28</v>
      </c>
      <c r="E25" s="0" t="n">
        <v>1</v>
      </c>
      <c r="F25" s="0" t="n">
        <v>40.1442307692308</v>
      </c>
      <c r="G25" s="0" t="n">
        <v>1</v>
      </c>
      <c r="H25" s="0" t="n">
        <v>0</v>
      </c>
      <c r="I25" s="0" t="n">
        <v>1</v>
      </c>
      <c r="J25" s="0" t="n">
        <v>20.0721153846154</v>
      </c>
    </row>
    <row r="26" customFormat="false" ht="360" hidden="false" customHeight="true" outlineLevel="0" collapsed="false">
      <c r="A26" s="0" t="s">
        <v>35</v>
      </c>
      <c r="B26" s="3" t="b">
        <f aca="false">FALSE()</f>
        <v>0</v>
      </c>
      <c r="C26" s="0" t="n">
        <v>7</v>
      </c>
      <c r="D26" s="0" t="s">
        <v>36</v>
      </c>
      <c r="E26" s="0" t="n">
        <v>1</v>
      </c>
      <c r="F26" s="0" t="n">
        <v>40.1442307692308</v>
      </c>
      <c r="G26" s="0" t="n">
        <v>1</v>
      </c>
      <c r="H26" s="0" t="n">
        <v>0</v>
      </c>
      <c r="I26" s="0" t="n">
        <v>1</v>
      </c>
      <c r="J26" s="0" t="n">
        <v>20.0721153846154</v>
      </c>
    </row>
    <row r="27" customFormat="false" ht="360" hidden="false" customHeight="true" outlineLevel="0" collapsed="false">
      <c r="A27" s="0" t="s">
        <v>37</v>
      </c>
      <c r="B27" s="3" t="b">
        <f aca="false">TRUE()</f>
        <v>1</v>
      </c>
      <c r="C27" s="0" t="n">
        <v>7</v>
      </c>
      <c r="D27" s="0" t="s">
        <v>38</v>
      </c>
      <c r="E27" s="0" t="n">
        <v>1</v>
      </c>
      <c r="F27" s="0" t="n">
        <v>40.1442307692308</v>
      </c>
      <c r="G27" s="0" t="n">
        <v>1</v>
      </c>
      <c r="H27" s="0" t="n">
        <v>0</v>
      </c>
      <c r="I27" s="0" t="n">
        <v>1</v>
      </c>
      <c r="J27" s="0" t="n">
        <v>20.0721153846154</v>
      </c>
    </row>
    <row r="28" customFormat="false" ht="360" hidden="false" customHeight="true" outlineLevel="0" collapsed="false">
      <c r="A28" s="0" t="s">
        <v>37</v>
      </c>
      <c r="B28" s="3" t="b">
        <f aca="false">FALSE()</f>
        <v>0</v>
      </c>
      <c r="C28" s="0" t="n">
        <v>7</v>
      </c>
      <c r="D28" s="0" t="s">
        <v>39</v>
      </c>
      <c r="E28" s="0" t="n">
        <v>1</v>
      </c>
      <c r="F28" s="0" t="n">
        <v>40.1442307692308</v>
      </c>
      <c r="G28" s="0" t="n">
        <v>1</v>
      </c>
      <c r="H28" s="0" t="n">
        <v>0</v>
      </c>
      <c r="I28" s="0" t="n">
        <v>1</v>
      </c>
      <c r="J28" s="0" t="n">
        <v>20.0721153846154</v>
      </c>
    </row>
    <row r="29" customFormat="false" ht="360" hidden="false" customHeight="true" outlineLevel="0" collapsed="false">
      <c r="A29" s="0" t="s">
        <v>40</v>
      </c>
      <c r="B29" s="3" t="b">
        <f aca="false">TRUE()</f>
        <v>1</v>
      </c>
      <c r="C29" s="0" t="n">
        <v>7</v>
      </c>
      <c r="D29" s="0" t="s">
        <v>24</v>
      </c>
      <c r="E29" s="0" t="n">
        <v>1</v>
      </c>
      <c r="F29" s="0" t="n">
        <v>40.1442307692308</v>
      </c>
      <c r="G29" s="0" t="n">
        <v>1</v>
      </c>
      <c r="H29" s="0" t="n">
        <v>0</v>
      </c>
      <c r="I29" s="0" t="n">
        <v>1</v>
      </c>
      <c r="J29" s="0" t="n">
        <v>20.0721153846154</v>
      </c>
    </row>
    <row r="30" customFormat="false" ht="360" hidden="false" customHeight="true" outlineLevel="0" collapsed="false">
      <c r="A30" s="0" t="s">
        <v>40</v>
      </c>
      <c r="B30" s="3" t="b">
        <f aca="false">TRUE()</f>
        <v>1</v>
      </c>
      <c r="C30" s="0" t="n">
        <v>7</v>
      </c>
      <c r="D30" s="0" t="s">
        <v>24</v>
      </c>
      <c r="E30" s="0" t="n">
        <v>1</v>
      </c>
      <c r="F30" s="0" t="n">
        <v>40.1442307692308</v>
      </c>
      <c r="G30" s="0" t="n">
        <v>1</v>
      </c>
      <c r="H30" s="0" t="n">
        <v>0</v>
      </c>
      <c r="I30" s="0" t="n">
        <v>1</v>
      </c>
      <c r="J30" s="0" t="n">
        <v>20.0721153846154</v>
      </c>
    </row>
    <row r="31" customFormat="false" ht="360" hidden="false" customHeight="true" outlineLevel="0" collapsed="false">
      <c r="A31" s="0" t="s">
        <v>40</v>
      </c>
      <c r="B31" s="3" t="b">
        <f aca="false">FALSE()</f>
        <v>0</v>
      </c>
      <c r="C31" s="0" t="n">
        <v>7</v>
      </c>
      <c r="D31" s="0" t="s">
        <v>24</v>
      </c>
      <c r="E31" s="0" t="n">
        <v>1</v>
      </c>
      <c r="F31" s="0" t="n">
        <v>40.1442307692308</v>
      </c>
      <c r="G31" s="0" t="n">
        <v>1</v>
      </c>
      <c r="H31" s="0" t="n">
        <v>0</v>
      </c>
      <c r="I31" s="0" t="n">
        <v>1</v>
      </c>
      <c r="J31" s="0" t="n">
        <v>20.0721153846154</v>
      </c>
    </row>
    <row r="32" customFormat="false" ht="360" hidden="false" customHeight="true" outlineLevel="0" collapsed="false">
      <c r="A32" s="0" t="s">
        <v>40</v>
      </c>
      <c r="B32" s="3" t="b">
        <f aca="false">FALSE()</f>
        <v>0</v>
      </c>
      <c r="C32" s="0" t="n">
        <v>7</v>
      </c>
      <c r="D32" s="0" t="s">
        <v>24</v>
      </c>
      <c r="E32" s="0" t="n">
        <v>1</v>
      </c>
      <c r="F32" s="0" t="n">
        <v>40.1442307692308</v>
      </c>
      <c r="G32" s="0" t="n">
        <v>1</v>
      </c>
      <c r="H32" s="0" t="n">
        <v>0</v>
      </c>
      <c r="I32" s="0" t="n">
        <v>1</v>
      </c>
      <c r="J32" s="0" t="n">
        <v>20.0721153846154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2</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2025-11-20T13:15:48Z</dcterms:created>
  <dc:creator>openpyxl</dc:creator>
  <dc:description/>
  <dc:language>en-US</dc:language>
  <cp:lastModifiedBy/>
  <dcterms:modified xsi:type="dcterms:W3CDTF">2025-11-20T15:24:48Z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