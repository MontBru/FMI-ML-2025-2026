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30.png" ContentType="image/png"/>
  <Override PartName="/xl/media/image79.png" ContentType="image/png"/>
  <Override PartName="/xl/media/image123.png" ContentType="image/png"/>
  <Override PartName="/xl/media/image122.png" ContentType="image/png"/>
  <Override PartName="/xl/media/image121.png" ContentType="image/png"/>
  <Override PartName="/xl/media/image120.png" ContentType="image/png"/>
  <Override PartName="/xl/media/image115.png" ContentType="image/png"/>
  <Override PartName="/xl/media/image114.png" ContentType="image/png"/>
  <Override PartName="/xl/media/image113.png" ContentType="image/png"/>
  <Override PartName="/xl/media/image112.png" ContentType="image/png"/>
  <Override PartName="/xl/media/image111.png" ContentType="image/png"/>
  <Override PartName="/xl/media/image110.png" ContentType="image/png"/>
  <Override PartName="/xl/media/image91.png" ContentType="image/png"/>
  <Override PartName="/xl/media/image135.png" ContentType="image/png"/>
  <Override PartName="/xl/media/image92.png" ContentType="image/png"/>
  <Override PartName="/xl/media/image136.png" ContentType="image/png"/>
  <Override PartName="/xl/media/image93.png" ContentType="image/png"/>
  <Override PartName="/xl/media/image137.png" ContentType="image/png"/>
  <Override PartName="/xl/media/image100.png" ContentType="image/png"/>
  <Override PartName="/xl/media/image94.png" ContentType="image/png"/>
  <Override PartName="/xl/media/image138.png" ContentType="image/png"/>
  <Override PartName="/xl/media/image101.png" ContentType="image/png"/>
  <Override PartName="/xl/media/image95.png" ContentType="image/png"/>
  <Override PartName="/xl/media/image139.png" ContentType="image/png"/>
  <Override PartName="/xl/media/image102.png" ContentType="image/png"/>
  <Override PartName="/xl/media/image96.png" ContentType="image/png"/>
  <Override PartName="/xl/media/image103.png" ContentType="image/png"/>
  <Override PartName="/xl/media/image97.png" ContentType="image/png"/>
  <Override PartName="/xl/media/image104.png" ContentType="image/png"/>
  <Override PartName="/xl/media/image98.png" ContentType="image/png"/>
  <Override PartName="/xl/media/image105.png" ContentType="image/png"/>
  <Override PartName="/xl/media/image142.png" ContentType="image/png"/>
  <Override PartName="/xl/media/image106.png" ContentType="image/png"/>
  <Override PartName="/xl/media/image99.png" ContentType="image/png"/>
  <Override PartName="/xl/media/image141.png" ContentType="image/png"/>
  <Override PartName="/xl/media/image89.png" ContentType="image/png"/>
  <Override PartName="/xl/media/image140.png" ContentType="image/png"/>
  <Override PartName="/xl/media/image134.png" ContentType="image/png"/>
  <Override PartName="/xl/media/image90.png" ContentType="image/png"/>
  <Override PartName="/xl/media/image133.png" ContentType="image/png"/>
  <Override PartName="/xl/media/image132.png" ContentType="image/png"/>
  <Override PartName="/xl/media/image131.png" ContentType="image/png"/>
  <Override PartName="/xl/media/image88.png" ContentType="image/png"/>
  <Override PartName="/xl/media/image87.png" ContentType="image/png"/>
  <Override PartName="/xl/media/image86.png" ContentType="image/png"/>
  <Override PartName="/xl/media/image85.png" ContentType="image/png"/>
  <Override PartName="/xl/media/image129.png" ContentType="image/png"/>
  <Override PartName="/xl/media/image72.png" ContentType="image/png"/>
  <Override PartName="/xl/media/image116.png" ContentType="image/png"/>
  <Override PartName="/xl/media/image84.png" ContentType="image/png"/>
  <Override PartName="/xl/media/image128.png" ContentType="image/png"/>
  <Override PartName="/xl/media/image73.png" ContentType="image/png"/>
  <Override PartName="/xl/media/image117.png" ContentType="image/png"/>
  <Override PartName="/xl/media/image74.png" ContentType="image/png"/>
  <Override PartName="/xl/media/image118.png" ContentType="image/png"/>
  <Override PartName="/xl/media/image75.png" ContentType="image/png"/>
  <Override PartName="/xl/media/image119.png" ContentType="image/png"/>
  <Override PartName="/xl/media/image76.png" ContentType="image/png"/>
  <Override PartName="/xl/media/image77.png" ContentType="image/png"/>
  <Override PartName="/xl/media/image78.png" ContentType="image/png"/>
  <Override PartName="/xl/media/image80.png" ContentType="image/png"/>
  <Override PartName="/xl/media/image124.png" ContentType="image/png"/>
  <Override PartName="/xl/media/image81.png" ContentType="image/png"/>
  <Override PartName="/xl/media/image125.png" ContentType="image/png"/>
  <Override PartName="/xl/media/image82.png" ContentType="image/png"/>
  <Override PartName="/xl/media/image126.png" ContentType="image/png"/>
  <Override PartName="/xl/media/image83.png" ContentType="image/png"/>
  <Override PartName="/xl/media/image127.png" ContentType="image/png"/>
  <Override PartName="/xl/media/image107.png" ContentType="image/png"/>
  <Override PartName="/xl/media/image108.png" ContentType="image/png"/>
  <Override PartName="/xl/media/image109.png" ContentType="image/png"/>
  <Override PartName="/xl/drawings/_rels/drawing1.xml.rels" ContentType="application/vnd.openxmlformats-package.relationship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heet" sheetId="1" state="visible" r:id="rId2"/>
    <sheet name="ModelReport"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<sst xmlns="http://schemas.openxmlformats.org/spreadsheetml/2006/main" count="157" uniqueCount="93">
  <si>
    <t xml:space="preserve">Model</t>
  </si>
  <si>
    <t xml:space="preserve">Scaling</t>
  </si>
  <si>
    <t xml:space="preserve">Number of variables</t>
  </si>
  <si>
    <t xml:space="preserve">Hyperparams</t>
  </si>
  <si>
    <t xml:space="preserve">Precision</t>
  </si>
  <si>
    <t xml:space="preserve">Precision increase from base model (in %)</t>
  </si>
  <si>
    <t xml:space="preserve">Recall</t>
  </si>
  <si>
    <t xml:space="preserve">Recall increase from base model (in %)</t>
  </si>
  <si>
    <t xml:space="preserve">F1 Score</t>
  </si>
  <si>
    <t xml:space="preserve">F1 score increase from base model (in %)</t>
  </si>
  <si>
    <t xml:space="preserve">Confusion matrix</t>
  </si>
  <si>
    <t xml:space="preserve">Comments</t>
  </si>
  <si>
    <t xml:space="preserve">Base model</t>
  </si>
  <si>
    <t xml:space="preserve">knn model on Index(['mean radius', 'mean texture', 'mean perimeter', 'mean area',
       'mean smoothness', 'mean compactness', 'mean concavity',
       'mean concave points',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</si>
  <si>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{'knn__n_neighbors': np.int64(8)}</t>
  </si>
  <si>
    <t xml:space="preserve">The training data was chosen as follows: all the data, all the data with removing the correlated columns, all the data with removing all correlated columns, all the data with removing all related columns without one. The goal was to find if removing them would be useful and we found that the best models are the ones that keep only one of the related columns and drop the others.</t>
  </si>
  <si>
    <t xml:space="preserve">{'knn__n_neighbors': np.int64(6)}</t>
  </si>
  <si>
    <t xml:space="preserve">I tried knn, logistic regression, svm, cart and ensembling model using all three of them to see which one of them would perform best. I included all three models in the ensembling model so that I have a majority vote. </t>
  </si>
  <si>
    <t xml:space="preserve">logistic model on Index(['mean radius', 'mean texture', 'mean perimeter', 'mean area',
       'mean smoothness', 'mean compactness', 'mean concavity',
       'mean concave points',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</si>
  <si>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{'logistic__penalty': 'l2', 'logistic__C': np.float64(0.1)}</t>
  </si>
  <si>
    <t xml:space="preserve">Also scaling was tested for every model to see if it’s needed and in most of the cases it is.</t>
  </si>
  <si>
    <t xml:space="preserve">{'logistic__penalty': 'l2', 'logistic__C': np.float64(0.9)}</t>
  </si>
  <si>
    <t xml:space="preserve">svm model on Index(['mean radius', 'mean texture', 'mean perimeter', 'mean area',
       'mean smoothness', 'mean compactness', 'mean concavity',
       'mean concave points',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</si>
  <si>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{'svm__kernel': 'rbf', 'svm__gamma': 'scale', 'svm__C': np.float64(0.5)}</t>
  </si>
  <si>
    <t xml:space="preserve">{'svm__kernel': 'linear', 'svm__gamma': 'scale', 'svm__C': np.float64(0.9)}</t>
  </si>
  <si>
    <t xml:space="preserve">cart model on Index(['mean radius', 'mean texture', 'mean perimeter', 'mean area',
       'mean smoothness', 'mean compactness', 'mean concavity',
       'mean concave points',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</si>
  <si>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{'cart__min_samples_split': np.int64(9), 'cart__max_depth': np.int64(41), 'cart__criterion': 'entropy'}</t>
  </si>
  <si>
    <t xml:space="preserve">{'cart__min_samples_split': np.int64(43), 'cart__max_depth': np.int64(6), 'cart__criterion': 'gini'}</t>
  </si>
  <si>
    <t xml:space="preserve">ensemble model on Index(['mean radius', 'mean texture', 'mean perimeter', 'mean area',
       'mean smoothness', 'mean compactness', 'mean concavity',
       'mean concave points',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</si>
  <si>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t>
  </si>
  <si>
    <t xml:space="preserve">knn model on Index(['mean texture', 'mean compactness', 'mean concavity',
       'mean concave points', 'mean symmetry', 'mean fractal dimension',
       'radius error', 'texture error', 'perimeter error', 'area error',
       'smoothness error', 'compactness error', 'concavity error',
       'concave points error', 'symmetry error', 'fractal dimension error',
       'worst texture', 'worst compactness', 'worst concavity',
       'worst concave points', 'worst symmetry', 'worst fractal dimension'],
      dtype='object')</t>
  </si>
  <si>
    <t xml:space="preserve">{'knn__n_neighbors': np.int64(11)}</t>
  </si>
  <si>
    <t xml:space="preserve">logistic model on Index(['mean texture', 'mean compactness', 'mean concavity',
       'mean concave points', 'mean symmetry', 'mean fractal dimension',
       'radius error', 'texture error', 'perimeter error', 'area error',
       'smoothness error', 'compactness error', 'concavity error',
       'concave points error', 'symmetry error', 'fractal dimension error',
       'worst texture', 'worst compactness', 'worst concavity',
       'worst concave points', 'worst symmetry', 'worst fractal dimension'],
      dtype='object')</t>
  </si>
  <si>
    <t xml:space="preserve">{'logistic__penalty': 'l2', 'logistic__C': np.float64(0.30000000000000004)}</t>
  </si>
  <si>
    <t xml:space="preserve">{'logistic__penalty': 'l2', 'logistic__C': np.float64(0.5)}</t>
  </si>
  <si>
    <t xml:space="preserve">svm model on Index(['mean texture', 'mean compactness', 'mean concavity',
       'mean concave points', 'mean symmetry', 'mean fractal dimension',
       'radius error', 'texture error', 'perimeter error', 'area error',
       'smoothness error', 'compactness error', 'concavity error',
       'concave points error', 'symmetry error', 'fractal dimension error',
       'worst texture', 'worst compactness', 'worst concavity',
       'worst concave points', 'worst symmetry', 'worst fractal dimension'],
      dtype='object')</t>
  </si>
  <si>
    <t xml:space="preserve">{'svm__kernel': 'linear', 'svm__gamma': 'scale', 'svm__C': np.float64(0.5)}</t>
  </si>
  <si>
    <t xml:space="preserve">{'svm__kernel': 'linear', 'svm__gamma': 'scale', 'svm__C': np.float64(0.6)}</t>
  </si>
  <si>
    <t xml:space="preserve">cart model on Index(['mean texture', 'mean compactness', 'mean concavity',
       'mean concave points', 'mean symmetry', 'mean fractal dimension',
       'radius error', 'texture error', 'perimeter error', 'area error',
       'smoothness error', 'compactness error', 'concavity error',
       'concave points error', 'symmetry error', 'fractal dimension error',
       'worst texture', 'worst compactness', 'worst concavity',
       'worst concave points', 'worst symmetry', 'worst fractal dimension'],
      dtype='object')</t>
  </si>
  <si>
    <t xml:space="preserve">{'cart__min_samples_split': np.int64(43), 'cart__max_depth': np.int64(28), 'cart__criterion': 'gini'}</t>
  </si>
  <si>
    <t xml:space="preserve">{'cart__min_samples_split': np.int64(4), 'cart__max_depth': np.int64(14), 'cart__criterion': 'gini'}</t>
  </si>
  <si>
    <t xml:space="preserve">ensemble model on Index(['mean texture', 'mean compactness', 'mean concavity',
       'mean concave points', 'mean symmetry', 'mean fractal dimension',
       'radius error', 'texture error', 'perimeter error', 'area error',
       'smoothness error', 'compactness error', 'concavity error',
       'concave points error', 'symmetry error', 'fractal dimension error',
       'worst texture', 'worst compactness', 'worst concavity',
       'worst concave points', 'worst symmetry', 'worst fractal dimension'],
      dtype='object')</t>
  </si>
  <si>
    <t xml:space="preserve">knn model on Index(['mean radius', 'mean texture', 'mean perimeter', 'mean area',
       'mean smoothness', 'mean compactness', 'mean concavity',
       'mean concave points', 'mean symmetry', 'mean fractal dimension',
       'texture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</si>
  <si>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{'knn__n_neighbors': np.int64(4)}</t>
  </si>
  <si>
    <t xml:space="preserve">{'knn__n_neighbors': np.int64(9)}</t>
  </si>
  <si>
    <t xml:space="preserve">logistic model on Index(['mean radius', 'mean texture', 'mean perimeter', 'mean area',
       'mean smoothness', 'mean compactness', 'mean concavity',
       'mean concave points', 'mean symmetry', 'mean fractal dimension',
       'texture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</si>
  <si>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{'logistic__penalty': 'l2', 'logistic__C': np.float64(0.2)}</t>
  </si>
  <si>
    <t xml:space="preserve">{'logistic__penalty': 'l2', 'logistic__C': np.float64(0.7000000000000001)}</t>
  </si>
  <si>
    <t xml:space="preserve">svm model on Index(['mean radius', 'mean texture', 'mean perimeter', 'mean area',
       'mean smoothness', 'mean compactness', 'mean concavity',
       'mean concave points', 'mean symmetry', 'mean fractal dimension',
       'texture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</si>
  <si>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{'svm__kernel': 'linear', 'svm__gamma': 'scale', 'svm__C': np.float64(0.8)}</t>
  </si>
  <si>
    <t xml:space="preserve">{'svm__kernel': 'linear', 'svm__gamma': 'scale', 'svm__C': np.float64(0.1)}</t>
  </si>
  <si>
    <t xml:space="preserve">cart model on Index(['mean radius', 'mean texture', 'mean perimeter', 'mean area',
       'mean smoothness', 'mean compactness', 'mean concavity',
       'mean concave points', 'mean symmetry', 'mean fractal dimension',
       'texture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</si>
  <si>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{'cart__min_samples_split': np.int64(9), 'cart__max_depth': np.int64(90), 'cart__criterion': 'entropy'}</t>
  </si>
  <si>
    <t xml:space="preserve">{'cart__min_samples_split': np.int64(13), 'cart__max_depth': np.int64(37), 'cart__criterion': 'gini'}</t>
  </si>
  <si>
    <t xml:space="preserve">ensemble model on Index(['mean radius', 'mean texture', 'mean perimeter', 'mean area',
       'mean smoothness', 'mean compactness', 'mean concavity',
       'mean concave points', 'mean symmetry', 'mean fractal dimension',
       'texture error', 'smoothness error', 'compactness error',
       'concavity error', 'concave points error', 'symmetry error',
       'fractal dimension error', 'worst radius', 'worst texture',
       'worst perimeter', 'worst area', 'worst smoothness',
       'worst compactness', 'worst concavity', 'worst concave points',
       'worst symmetry', 'worst fractal dimension'],
      dtype='object')</t>
  </si>
  <si>
    <t xml:space="preserve">knn model on Index(['mean radius', 'mean texture', 'mean perimeter', 'mean area',
       'mean smoothness', 'mean concavity',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symmetry', 'worst fractal dimension'],
      dtype='object')</t>
  </si>
  <si>
    <t xml:space="preserve">logistic model on Index(['mean radius', 'mean texture', 'mean perimeter', 'mean area',
       'mean smoothness', 'mean concavity',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symmetry', 'worst fractal dimension'],
      dtype='object')</t>
  </si>
  <si>
    <t xml:space="preserve">svm model on Index(['mean radius', 'mean texture', 'mean perimeter', 'mean area',
       'mean smoothness', 'mean concavity',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symmetry', 'worst fractal dimension'],
      dtype='object')</t>
  </si>
  <si>
    <t xml:space="preserve">{'svm__kernel': 'rbf', 'svm__gamma': 'scale', 'svm__C': np.float64(0.9)}</t>
  </si>
  <si>
    <t xml:space="preserve">{'svm__kernel': 'linear', 'svm__gamma': 'scale', 'svm__C': np.float64(0.7000000000000001)}</t>
  </si>
  <si>
    <t xml:space="preserve">cart model on Index(['mean radius', 'mean texture', 'mean perimeter', 'mean area',
       'mean smoothness', 'mean concavity',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symmetry', 'worst fractal dimension'],
      dtype='object')</t>
  </si>
  <si>
    <t xml:space="preserve">{'cart__min_samples_split': np.int64(31), 'cart__max_depth': np.int64(1), 'cart__criterion': 'entropy'}</t>
  </si>
  <si>
    <t xml:space="preserve">{'cart__min_samples_split': np.int64(49), 'cart__max_depth': np.int64(20), 'cart__criterion': 'gini'}</t>
  </si>
  <si>
    <t xml:space="preserve">ensemble model on Index(['mean radius', 'mean texture', 'mean perimeter', 'mean area',
       'mean smoothness', 'mean concavity', 'mean symmetry',
       'mean fractal dimension', 'radius error', 'texture error',
       'perimeter error', 'area error', 'smoothness error',
       'compactness error', 'concavity error', 'concave points error',
       'symmetry error', 'fractal dimension error', 'worst radius',
       'worst texture', 'worst perimeter', 'worst area', 'worst smoothness',
       'worst symmetry', 'worst fractal dimension'],
      dtype='object')</t>
  </si>
  <si>
    <t xml:space="preserve">knn model on Index(['mean texture', 'mean compactness', 'mean concavity',
       'mean concave points', 'mean symmetry', 'mean fractal dimension',
       'texture error', 'smoothness error', 'compactness error',
       'concavity error', 'concave points error', 'symmetry error',
       'fractal dimension error', 'worst texture', 'worst compactness',
       'worst concavity', 'worst concave points', 'worst symmetry',
       'worst fractal dimension'],
      dtype='object')</t>
  </si>
  <si>
    <t xml:space="preserve">{'knn__n_neighbors': np.int64(13)}</t>
  </si>
  <si>
    <t xml:space="preserve">logistic model on Index(['mean texture', 'mean compactness', 'mean concavity',
       'mean concave points', 'mean symmetry', 'mean fractal dimension',
       'texture error', 'smoothness error', 'compactness error',
       'concavity error', 'concave points error', 'symmetry error',
       'fractal dimension error', 'worst texture', 'worst compactness',
       'worst concavity', 'worst concave points', 'worst symmetry',
       'worst fractal dimension'],
      dtype='object')</t>
  </si>
  <si>
    <t xml:space="preserve">svm model on Index(['mean texture', 'mean compactness', 'mean concavity',
       'mean concave points', 'mean symmetry', 'mean fractal dimension',
       'texture error', 'smoothness error', 'compactness error',
       'concavity error', 'concave points error', 'symmetry error',
       'fractal dimension error', 'worst texture', 'worst compactness',
       'worst concavity', 'worst concave points', 'worst symmetry',
       'worst fractal dimension'],
      dtype='object')</t>
  </si>
  <si>
    <t xml:space="preserve">cart model on Index(['mean texture', 'mean compactness', 'mean concavity',
       'mean concave points', 'mean symmetry', 'mean fractal dimension',
       'texture error', 'smoothness error', 'compactness error',
       'concavity error', 'concave points error', 'symmetry error',
       'fractal dimension error', 'worst texture', 'worst compactness',
       'worst concavity', 'worst concave points', 'worst symmetry',
       'worst fractal dimension'],
      dtype='object')</t>
  </si>
  <si>
    <t xml:space="preserve">{'cart__min_samples_split': np.int64(18), 'cart__max_depth': np.int64(72), 'cart__criterion': 'gini'}</t>
  </si>
  <si>
    <t xml:space="preserve">{'cart__min_samples_split': np.int64(20), 'cart__max_depth': np.int64(95), 'cart__criterion': 'gini'}</t>
  </si>
  <si>
    <t xml:space="preserve">ensemble model on Index(['mean texture', 'mean compactness', 'mean concavity',
       'mean concave points', 'mean symmetry', 'mean fractal dimension',
       'texture error', 'smoothness error', 'compactness error',
       'concavity error', 'concave points error', 'symmetry error',
       'fractal dimension error', 'worst texture', 'worst compactness',
       'worst concavity', 'worst concave points', 'worst symmetry',
       'worst fractal dimension'],
      dtype='object')</t>
  </si>
  <si>
    <t xml:space="preserve">knn model on Index(['mean texture', 'mean concavity', 'mean symmetry',
       'mean fractal dimension', 'texture error', 'smoothness error',
       'compactness error', 'concavity error', 'concave points error',
       'symmetry error', 'fractal dimension error', 'worst texture',
       'worst symmetry', 'worst fractal dimension'],
      dtype='object')</t>
  </si>
  <si>
    <t xml:space="preserve">{'knn__n_neighbors': np.int64(7)}</t>
  </si>
  <si>
    <t xml:space="preserve">logistic model on Index(['mean texture', 'mean concavity', 'mean symmetry',
       'mean fractal dimension', 'texture error', 'smoothness error',
       'compactness error', 'concavity error', 'concave points error',
       'symmetry error', 'fractal dimension error', 'worst texture',
       'worst symmetry', 'worst fractal dimension'],
      dtype='object')</t>
  </si>
  <si>
    <t xml:space="preserve">{'logistic__penalty': 'l2', 'logistic__C': np.float64(0.6)}</t>
  </si>
  <si>
    <t xml:space="preserve">svm model on Index(['mean texture', 'mean concavity', 'mean symmetry',
       'mean fractal dimension', 'texture error', 'smoothness error',
       'compactness error', 'concavity error', 'concave points error',
       'symmetry error', 'fractal dimension error', 'worst texture',
       'worst symmetry', 'worst fractal dimension'],
      dtype='object')</t>
  </si>
  <si>
    <t xml:space="preserve">{'svm__kernel': 'linear', 'svm__gamma': 'scale', 'svm__C': np.float64(0.4)}</t>
  </si>
  <si>
    <t xml:space="preserve">cart model on Index(['mean texture', 'mean concavity', 'mean symmetry',
       'mean fractal dimension', 'texture error', 'smoothness error',
       'compactness error', 'concavity error', 'concave points error',
       'symmetry error', 'fractal dimension error', 'worst texture',
       'worst symmetry', 'worst fractal dimension'],
      dtype='object')</t>
  </si>
  <si>
    <t xml:space="preserve">{'cart__min_samples_split': np.int64(24), 'cart__max_depth': np.int64(40), 'cart__criterion': 'entropy'}</t>
  </si>
  <si>
    <t xml:space="preserve">{'cart__min_samples_split': np.int64(6), 'cart__max_depth': np.int64(23), 'cart__criterion': 'entropy'}</t>
  </si>
  <si>
    <t xml:space="preserve">ensemble model on Index(['mean texture', 'mean concavity', 'mean symmetry',
       'mean fractal dimension', 'texture error', 'smoothness error',
       'compactness error', 'concavity error', 'concave points error',
       'symmetry error', 'fractal dimension error', 'worst texture',
       'worst symmetry', 'worst fractal dimension'],
      dtype='object')</t>
  </si>
  <si>
    <t xml:space="preserve">This is the best model, because it has the highest f1 score and it also uses only 14 features which is good for training.</t>
  </si>
  <si>
    <t xml:space="preserve">knn model on Index(['mean radius', 'mean texture', 'mean compactness', 'mean concavity',
       'mean symmetry', 'mean fractal dimension', 'radius error',
       'texture error', 'smoothness error', 'compactness error',
       'concavity error', 'concave points error', 'symmetry error',
       'fractal dimension error', 'worst texture', 'worst symmetry',
       'worst fractal dimension'],
      dtype='object')</t>
  </si>
  <si>
    <t xml:space="preserve">{'knn__n_neighbors': np.int64(12)}</t>
  </si>
  <si>
    <t xml:space="preserve">{'knn__n_neighbors': np.int64(10)}</t>
  </si>
  <si>
    <t xml:space="preserve">logistic model on Index(['mean radius', 'mean texture', 'mean compactness', 'mean concavity',
       'mean symmetry', 'mean fractal dimension', 'radius error',
       'texture error', 'smoothness error', 'compactness error',
       'concavity error', 'concave points error', 'symmetry error',
       'fractal dimension error', 'worst texture', 'worst symmetry',
       'worst fractal dimension'],
      dtype='object')</t>
  </si>
  <si>
    <t xml:space="preserve">{'logistic__penalty': 'l2', 'logistic__C': np.float64(0.8)}</t>
  </si>
  <si>
    <t xml:space="preserve">svm model on Index(['mean radius', 'mean texture', 'mean compactness', 'mean concavity',
       'mean symmetry', 'mean fractal dimension', 'radius error',
       'texture error', 'smoothness error', 'compactness error',
       'concavity error', 'concave points error', 'symmetry error',
       'fractal dimension error', 'worst texture', 'worst symmetry',
       'worst fractal dimension'],
      dtype='object')</t>
  </si>
  <si>
    <t xml:space="preserve">cart model on Index(['mean radius', 'mean texture', 'mean compactness', 'mean concavity',
       'mean symmetry', 'mean fractal dimension', 'radius error',
       'texture error', 'smoothness error', 'compactness error',
       'concavity error', 'concave points error', 'symmetry error',
       'fractal dimension error', 'worst texture', 'worst symmetry',
       'worst fractal dimension'],
      dtype='object')</t>
  </si>
  <si>
    <t xml:space="preserve">{'cart__min_samples_split': np.int64(9), 'cart__max_depth': np.int64(8), 'cart__criterion': 'gini'}</t>
  </si>
  <si>
    <t xml:space="preserve">{'cart__min_samples_split': np.int64(4), 'cart__max_depth': np.int64(54), 'cart__criterion': 'entropy'}</t>
  </si>
  <si>
    <t xml:space="preserve">ensemble model on Index(['mean radius', 'mean texture', 'mean compactness', 'mean concavity',
       'mean symmetry', 'mean fractal dimension', 'radius error',
       'texture error', 'smoothness error', 'compactness error',
       'concavity error', 'concave points error', 'symmetry error',
       'fractal dimension error', 'worst texture', 'worst symmetry',
       'worst fractal dimension'],
      dtype='object')</t>
  </si>
</sst>
</file>

<file path=xl/styles.xml><?xml version="1.0" encoding="utf-8"?>
<styleSheet xmlns="http://schemas.openxmlformats.org/spreadsheetml/2006/main">
  <numFmts count="3">
    <numFmt numFmtId="164" formatCode="General"/>
    <numFmt numFmtId="165" formatCode="General"/>
    <numFmt numFmtId="166" formatCode="0.00"/>
  </numFmts>
  <fonts count="4">
    <font>
      <sz val="11"/>
      <color rgb="FF000000"/>
      <name val="Calibri"/>
      <family val="2"/>
      <charset val="1"/>
    </font>
    <font>
      <sz val="10"/>
      <name val="Arial"/>
      <family val="0"/>
    </font>
    <font>
      <sz val="10"/>
      <name val="Arial"/>
      <family val="0"/>
    </font>
    <font>
      <sz val="10"/>
      <name val="Arial"/>
      <family val="0"/>
    </font>
  </fonts>
  <fills count="3">
    <fill>
      <patternFill patternType="none"/>
    </fill>
    <fill>
      <patternFill patternType="gray125"/>
    </fill>
    <fill>
      <patternFill patternType="solid">
        <fgColor rgb="FFAFD095"/>
        <bgColor rgb="FF99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FD09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72.png"/><Relationship Id="rId2" Type="http://schemas.openxmlformats.org/officeDocument/2006/relationships/image" Target="../media/image73.png"/><Relationship Id="rId3" Type="http://schemas.openxmlformats.org/officeDocument/2006/relationships/image" Target="../media/image74.png"/><Relationship Id="rId4" Type="http://schemas.openxmlformats.org/officeDocument/2006/relationships/image" Target="../media/image75.png"/><Relationship Id="rId5" Type="http://schemas.openxmlformats.org/officeDocument/2006/relationships/image" Target="../media/image76.png"/><Relationship Id="rId6" Type="http://schemas.openxmlformats.org/officeDocument/2006/relationships/image" Target="../media/image77.png"/><Relationship Id="rId7" Type="http://schemas.openxmlformats.org/officeDocument/2006/relationships/image" Target="../media/image78.png"/><Relationship Id="rId8" Type="http://schemas.openxmlformats.org/officeDocument/2006/relationships/image" Target="../media/image79.png"/><Relationship Id="rId9" Type="http://schemas.openxmlformats.org/officeDocument/2006/relationships/image" Target="../media/image80.png"/><Relationship Id="rId10" Type="http://schemas.openxmlformats.org/officeDocument/2006/relationships/image" Target="../media/image81.png"/><Relationship Id="rId11" Type="http://schemas.openxmlformats.org/officeDocument/2006/relationships/image" Target="../media/image82.png"/><Relationship Id="rId12" Type="http://schemas.openxmlformats.org/officeDocument/2006/relationships/image" Target="../media/image83.png"/><Relationship Id="rId13" Type="http://schemas.openxmlformats.org/officeDocument/2006/relationships/image" Target="../media/image84.png"/><Relationship Id="rId14" Type="http://schemas.openxmlformats.org/officeDocument/2006/relationships/image" Target="../media/image85.png"/><Relationship Id="rId15" Type="http://schemas.openxmlformats.org/officeDocument/2006/relationships/image" Target="../media/image86.png"/><Relationship Id="rId16" Type="http://schemas.openxmlformats.org/officeDocument/2006/relationships/image" Target="../media/image87.png"/><Relationship Id="rId17" Type="http://schemas.openxmlformats.org/officeDocument/2006/relationships/image" Target="../media/image88.png"/><Relationship Id="rId18" Type="http://schemas.openxmlformats.org/officeDocument/2006/relationships/image" Target="../media/image89.png"/><Relationship Id="rId19" Type="http://schemas.openxmlformats.org/officeDocument/2006/relationships/image" Target="../media/image90.png"/><Relationship Id="rId20" Type="http://schemas.openxmlformats.org/officeDocument/2006/relationships/image" Target="../media/image91.png"/><Relationship Id="rId21" Type="http://schemas.openxmlformats.org/officeDocument/2006/relationships/image" Target="../media/image92.png"/><Relationship Id="rId22" Type="http://schemas.openxmlformats.org/officeDocument/2006/relationships/image" Target="../media/image93.png"/><Relationship Id="rId23" Type="http://schemas.openxmlformats.org/officeDocument/2006/relationships/image" Target="../media/image94.png"/><Relationship Id="rId24" Type="http://schemas.openxmlformats.org/officeDocument/2006/relationships/image" Target="../media/image95.png"/><Relationship Id="rId25" Type="http://schemas.openxmlformats.org/officeDocument/2006/relationships/image" Target="../media/image96.png"/><Relationship Id="rId26" Type="http://schemas.openxmlformats.org/officeDocument/2006/relationships/image" Target="../media/image97.png"/><Relationship Id="rId27" Type="http://schemas.openxmlformats.org/officeDocument/2006/relationships/image" Target="../media/image98.png"/><Relationship Id="rId28" Type="http://schemas.openxmlformats.org/officeDocument/2006/relationships/image" Target="../media/image99.png"/><Relationship Id="rId29" Type="http://schemas.openxmlformats.org/officeDocument/2006/relationships/image" Target="../media/image100.png"/><Relationship Id="rId30" Type="http://schemas.openxmlformats.org/officeDocument/2006/relationships/image" Target="../media/image101.png"/><Relationship Id="rId31" Type="http://schemas.openxmlformats.org/officeDocument/2006/relationships/image" Target="../media/image102.png"/><Relationship Id="rId32" Type="http://schemas.openxmlformats.org/officeDocument/2006/relationships/image" Target="../media/image103.png"/><Relationship Id="rId33" Type="http://schemas.openxmlformats.org/officeDocument/2006/relationships/image" Target="../media/image104.png"/><Relationship Id="rId34" Type="http://schemas.openxmlformats.org/officeDocument/2006/relationships/image" Target="../media/image105.png"/><Relationship Id="rId35" Type="http://schemas.openxmlformats.org/officeDocument/2006/relationships/image" Target="../media/image106.png"/><Relationship Id="rId36" Type="http://schemas.openxmlformats.org/officeDocument/2006/relationships/image" Target="../media/image107.png"/><Relationship Id="rId37" Type="http://schemas.openxmlformats.org/officeDocument/2006/relationships/image" Target="../media/image108.png"/><Relationship Id="rId38" Type="http://schemas.openxmlformats.org/officeDocument/2006/relationships/image" Target="../media/image109.png"/><Relationship Id="rId39" Type="http://schemas.openxmlformats.org/officeDocument/2006/relationships/image" Target="../media/image110.png"/><Relationship Id="rId40" Type="http://schemas.openxmlformats.org/officeDocument/2006/relationships/image" Target="../media/image111.png"/><Relationship Id="rId41" Type="http://schemas.openxmlformats.org/officeDocument/2006/relationships/image" Target="../media/image112.png"/><Relationship Id="rId42" Type="http://schemas.openxmlformats.org/officeDocument/2006/relationships/image" Target="../media/image113.png"/><Relationship Id="rId43" Type="http://schemas.openxmlformats.org/officeDocument/2006/relationships/image" Target="../media/image114.png"/><Relationship Id="rId44" Type="http://schemas.openxmlformats.org/officeDocument/2006/relationships/image" Target="../media/image115.png"/><Relationship Id="rId45" Type="http://schemas.openxmlformats.org/officeDocument/2006/relationships/image" Target="../media/image116.png"/><Relationship Id="rId46" Type="http://schemas.openxmlformats.org/officeDocument/2006/relationships/image" Target="../media/image117.png"/><Relationship Id="rId47" Type="http://schemas.openxmlformats.org/officeDocument/2006/relationships/image" Target="../media/image118.png"/><Relationship Id="rId48" Type="http://schemas.openxmlformats.org/officeDocument/2006/relationships/image" Target="../media/image119.png"/><Relationship Id="rId49" Type="http://schemas.openxmlformats.org/officeDocument/2006/relationships/image" Target="../media/image120.png"/><Relationship Id="rId50" Type="http://schemas.openxmlformats.org/officeDocument/2006/relationships/image" Target="../media/image121.png"/><Relationship Id="rId51" Type="http://schemas.openxmlformats.org/officeDocument/2006/relationships/image" Target="../media/image122.png"/><Relationship Id="rId52" Type="http://schemas.openxmlformats.org/officeDocument/2006/relationships/image" Target="../media/image123.png"/><Relationship Id="rId53" Type="http://schemas.openxmlformats.org/officeDocument/2006/relationships/image" Target="../media/image124.png"/><Relationship Id="rId54" Type="http://schemas.openxmlformats.org/officeDocument/2006/relationships/image" Target="../media/image125.png"/><Relationship Id="rId55" Type="http://schemas.openxmlformats.org/officeDocument/2006/relationships/image" Target="../media/image126.png"/><Relationship Id="rId56" Type="http://schemas.openxmlformats.org/officeDocument/2006/relationships/image" Target="../media/image127.png"/><Relationship Id="rId57" Type="http://schemas.openxmlformats.org/officeDocument/2006/relationships/image" Target="../media/image128.png"/><Relationship Id="rId58" Type="http://schemas.openxmlformats.org/officeDocument/2006/relationships/image" Target="../media/image129.png"/><Relationship Id="rId59" Type="http://schemas.openxmlformats.org/officeDocument/2006/relationships/image" Target="../media/image130.png"/><Relationship Id="rId60" Type="http://schemas.openxmlformats.org/officeDocument/2006/relationships/image" Target="../media/image131.png"/><Relationship Id="rId61" Type="http://schemas.openxmlformats.org/officeDocument/2006/relationships/image" Target="../media/image132.png"/><Relationship Id="rId62" Type="http://schemas.openxmlformats.org/officeDocument/2006/relationships/image" Target="../media/image133.png"/><Relationship Id="rId63" Type="http://schemas.openxmlformats.org/officeDocument/2006/relationships/image" Target="../media/image134.png"/><Relationship Id="rId64" Type="http://schemas.openxmlformats.org/officeDocument/2006/relationships/image" Target="../media/image135.png"/><Relationship Id="rId65" Type="http://schemas.openxmlformats.org/officeDocument/2006/relationships/image" Target="../media/image136.png"/><Relationship Id="rId66" Type="http://schemas.openxmlformats.org/officeDocument/2006/relationships/image" Target="../media/image137.png"/><Relationship Id="rId67" Type="http://schemas.openxmlformats.org/officeDocument/2006/relationships/image" Target="../media/image138.png"/><Relationship Id="rId68" Type="http://schemas.openxmlformats.org/officeDocument/2006/relationships/image" Target="../media/image139.png"/><Relationship Id="rId69" Type="http://schemas.openxmlformats.org/officeDocument/2006/relationships/image" Target="../media/image140.png"/><Relationship Id="rId70" Type="http://schemas.openxmlformats.org/officeDocument/2006/relationships/image" Target="../media/image141.png"/><Relationship Id="rId71" Type="http://schemas.openxmlformats.org/officeDocument/2006/relationships/image" Target="../media/image14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0</xdr:rowOff>
    </xdr:from>
    <xdr:to>
      <xdr:col>10</xdr:col>
      <xdr:colOff>6095520</xdr:colOff>
      <xdr:row>2</xdr:row>
      <xdr:rowOff>4571640</xdr:rowOff>
    </xdr:to>
    <xdr:pic>
      <xdr:nvPicPr>
        <xdr:cNvPr id="0" name="Image 1" descr="Picture"/>
        <xdr:cNvPicPr/>
      </xdr:nvPicPr>
      <xdr:blipFill>
        <a:blip r:embed="rId1"/>
        <a:stretch/>
      </xdr:blipFill>
      <xdr:spPr>
        <a:xfrm>
          <a:off x="25341480" y="380880"/>
          <a:ext cx="6095520" cy="4571640"/>
        </a:xfrm>
        <a:prstGeom prst="rect">
          <a:avLst/>
        </a:prstGeom>
        <a:ln w="0">
          <a:noFill/>
        </a:ln>
      </xdr:spPr>
    </xdr:pic>
    <xdr:clientData/>
  </xdr:twoCellAnchor>
  <xdr:twoCellAnchor editAs="oneCell">
    <xdr:from>
      <xdr:col>10</xdr:col>
      <xdr:colOff>0</xdr:colOff>
      <xdr:row>3</xdr:row>
      <xdr:rowOff>0</xdr:rowOff>
    </xdr:from>
    <xdr:to>
      <xdr:col>10</xdr:col>
      <xdr:colOff>6095520</xdr:colOff>
      <xdr:row>3</xdr:row>
      <xdr:rowOff>4571640</xdr:rowOff>
    </xdr:to>
    <xdr:pic>
      <xdr:nvPicPr>
        <xdr:cNvPr id="1" name="Image 2" descr="Picture"/>
        <xdr:cNvPicPr/>
      </xdr:nvPicPr>
      <xdr:blipFill>
        <a:blip r:embed="rId2"/>
        <a:stretch/>
      </xdr:blipFill>
      <xdr:spPr>
        <a:xfrm>
          <a:off x="25341480" y="4952880"/>
          <a:ext cx="6095520" cy="4571640"/>
        </a:xfrm>
        <a:prstGeom prst="rect">
          <a:avLst/>
        </a:prstGeom>
        <a:ln w="0">
          <a:noFill/>
        </a:ln>
      </xdr:spPr>
    </xdr:pic>
    <xdr:clientData/>
  </xdr:twoCellAnchor>
  <xdr:twoCellAnchor editAs="oneCell">
    <xdr:from>
      <xdr:col>10</xdr:col>
      <xdr:colOff>0</xdr:colOff>
      <xdr:row>4</xdr:row>
      <xdr:rowOff>0</xdr:rowOff>
    </xdr:from>
    <xdr:to>
      <xdr:col>10</xdr:col>
      <xdr:colOff>6095520</xdr:colOff>
      <xdr:row>4</xdr:row>
      <xdr:rowOff>4571640</xdr:rowOff>
    </xdr:to>
    <xdr:pic>
      <xdr:nvPicPr>
        <xdr:cNvPr id="2" name="Image 3" descr="Picture"/>
        <xdr:cNvPicPr/>
      </xdr:nvPicPr>
      <xdr:blipFill>
        <a:blip r:embed="rId3"/>
        <a:stretch/>
      </xdr:blipFill>
      <xdr:spPr>
        <a:xfrm>
          <a:off x="25341480" y="9524880"/>
          <a:ext cx="6095520" cy="4571640"/>
        </a:xfrm>
        <a:prstGeom prst="rect">
          <a:avLst/>
        </a:prstGeom>
        <a:ln w="0">
          <a:noFill/>
        </a:ln>
      </xdr:spPr>
    </xdr:pic>
    <xdr:clientData/>
  </xdr:twoCellAnchor>
  <xdr:twoCellAnchor editAs="oneCell">
    <xdr:from>
      <xdr:col>10</xdr:col>
      <xdr:colOff>0</xdr:colOff>
      <xdr:row>5</xdr:row>
      <xdr:rowOff>0</xdr:rowOff>
    </xdr:from>
    <xdr:to>
      <xdr:col>10</xdr:col>
      <xdr:colOff>6095520</xdr:colOff>
      <xdr:row>5</xdr:row>
      <xdr:rowOff>4571640</xdr:rowOff>
    </xdr:to>
    <xdr:pic>
      <xdr:nvPicPr>
        <xdr:cNvPr id="3" name="Image 4" descr="Picture"/>
        <xdr:cNvPicPr/>
      </xdr:nvPicPr>
      <xdr:blipFill>
        <a:blip r:embed="rId4"/>
        <a:stretch/>
      </xdr:blipFill>
      <xdr:spPr>
        <a:xfrm>
          <a:off x="25341480" y="14096880"/>
          <a:ext cx="6095520" cy="4571640"/>
        </a:xfrm>
        <a:prstGeom prst="rect">
          <a:avLst/>
        </a:prstGeom>
        <a:ln w="0">
          <a:noFill/>
        </a:ln>
      </xdr:spPr>
    </xdr:pic>
    <xdr:clientData/>
  </xdr:twoCellAnchor>
  <xdr:twoCellAnchor editAs="oneCell">
    <xdr:from>
      <xdr:col>10</xdr:col>
      <xdr:colOff>0</xdr:colOff>
      <xdr:row>6</xdr:row>
      <xdr:rowOff>0</xdr:rowOff>
    </xdr:from>
    <xdr:to>
      <xdr:col>10</xdr:col>
      <xdr:colOff>6095520</xdr:colOff>
      <xdr:row>6</xdr:row>
      <xdr:rowOff>4571640</xdr:rowOff>
    </xdr:to>
    <xdr:pic>
      <xdr:nvPicPr>
        <xdr:cNvPr id="4" name="Image 5" descr="Picture"/>
        <xdr:cNvPicPr/>
      </xdr:nvPicPr>
      <xdr:blipFill>
        <a:blip r:embed="rId5"/>
        <a:stretch/>
      </xdr:blipFill>
      <xdr:spPr>
        <a:xfrm>
          <a:off x="25341480" y="18668880"/>
          <a:ext cx="6095520" cy="4571640"/>
        </a:xfrm>
        <a:prstGeom prst="rect">
          <a:avLst/>
        </a:prstGeom>
        <a:ln w="0">
          <a:noFill/>
        </a:ln>
      </xdr:spPr>
    </xdr:pic>
    <xdr:clientData/>
  </xdr:twoCellAnchor>
  <xdr:twoCellAnchor editAs="oneCell">
    <xdr:from>
      <xdr:col>10</xdr:col>
      <xdr:colOff>0</xdr:colOff>
      <xdr:row>7</xdr:row>
      <xdr:rowOff>0</xdr:rowOff>
    </xdr:from>
    <xdr:to>
      <xdr:col>10</xdr:col>
      <xdr:colOff>6095520</xdr:colOff>
      <xdr:row>7</xdr:row>
      <xdr:rowOff>4571640</xdr:rowOff>
    </xdr:to>
    <xdr:pic>
      <xdr:nvPicPr>
        <xdr:cNvPr id="5" name="Image 6" descr="Picture"/>
        <xdr:cNvPicPr/>
      </xdr:nvPicPr>
      <xdr:blipFill>
        <a:blip r:embed="rId6"/>
        <a:stretch/>
      </xdr:blipFill>
      <xdr:spPr>
        <a:xfrm>
          <a:off x="25341480" y="23240880"/>
          <a:ext cx="6095520" cy="4571640"/>
        </a:xfrm>
        <a:prstGeom prst="rect">
          <a:avLst/>
        </a:prstGeom>
        <a:ln w="0">
          <a:noFill/>
        </a:ln>
      </xdr:spPr>
    </xdr:pic>
    <xdr:clientData/>
  </xdr:twoCellAnchor>
  <xdr:twoCellAnchor editAs="oneCell">
    <xdr:from>
      <xdr:col>10</xdr:col>
      <xdr:colOff>0</xdr:colOff>
      <xdr:row>8</xdr:row>
      <xdr:rowOff>0</xdr:rowOff>
    </xdr:from>
    <xdr:to>
      <xdr:col>10</xdr:col>
      <xdr:colOff>6095520</xdr:colOff>
      <xdr:row>8</xdr:row>
      <xdr:rowOff>4571640</xdr:rowOff>
    </xdr:to>
    <xdr:pic>
      <xdr:nvPicPr>
        <xdr:cNvPr id="6" name="Image 7" descr="Picture"/>
        <xdr:cNvPicPr/>
      </xdr:nvPicPr>
      <xdr:blipFill>
        <a:blip r:embed="rId7"/>
        <a:stretch/>
      </xdr:blipFill>
      <xdr:spPr>
        <a:xfrm>
          <a:off x="25341480" y="27812880"/>
          <a:ext cx="6095520" cy="4571640"/>
        </a:xfrm>
        <a:prstGeom prst="rect">
          <a:avLst/>
        </a:prstGeom>
        <a:ln w="0">
          <a:noFill/>
        </a:ln>
      </xdr:spPr>
    </xdr:pic>
    <xdr:clientData/>
  </xdr:twoCellAnchor>
  <xdr:twoCellAnchor editAs="oneCell">
    <xdr:from>
      <xdr:col>10</xdr:col>
      <xdr:colOff>0</xdr:colOff>
      <xdr:row>9</xdr:row>
      <xdr:rowOff>0</xdr:rowOff>
    </xdr:from>
    <xdr:to>
      <xdr:col>10</xdr:col>
      <xdr:colOff>6095520</xdr:colOff>
      <xdr:row>9</xdr:row>
      <xdr:rowOff>4571640</xdr:rowOff>
    </xdr:to>
    <xdr:pic>
      <xdr:nvPicPr>
        <xdr:cNvPr id="7" name="Image 8" descr="Picture"/>
        <xdr:cNvPicPr/>
      </xdr:nvPicPr>
      <xdr:blipFill>
        <a:blip r:embed="rId8"/>
        <a:stretch/>
      </xdr:blipFill>
      <xdr:spPr>
        <a:xfrm>
          <a:off x="25341480" y="32384880"/>
          <a:ext cx="6095520" cy="4571640"/>
        </a:xfrm>
        <a:prstGeom prst="rect">
          <a:avLst/>
        </a:prstGeom>
        <a:ln w="0">
          <a:noFill/>
        </a:ln>
      </xdr:spPr>
    </xdr:pic>
    <xdr:clientData/>
  </xdr:twoCellAnchor>
  <xdr:twoCellAnchor editAs="oneCell">
    <xdr:from>
      <xdr:col>10</xdr:col>
      <xdr:colOff>0</xdr:colOff>
      <xdr:row>10</xdr:row>
      <xdr:rowOff>0</xdr:rowOff>
    </xdr:from>
    <xdr:to>
      <xdr:col>10</xdr:col>
      <xdr:colOff>6095520</xdr:colOff>
      <xdr:row>10</xdr:row>
      <xdr:rowOff>4571640</xdr:rowOff>
    </xdr:to>
    <xdr:pic>
      <xdr:nvPicPr>
        <xdr:cNvPr id="8" name="Image 9" descr="Picture"/>
        <xdr:cNvPicPr/>
      </xdr:nvPicPr>
      <xdr:blipFill>
        <a:blip r:embed="rId9"/>
        <a:stretch/>
      </xdr:blipFill>
      <xdr:spPr>
        <a:xfrm>
          <a:off x="25341480" y="36956880"/>
          <a:ext cx="6095520" cy="4571640"/>
        </a:xfrm>
        <a:prstGeom prst="rect">
          <a:avLst/>
        </a:prstGeom>
        <a:ln w="0">
          <a:noFill/>
        </a:ln>
      </xdr:spPr>
    </xdr:pic>
    <xdr:clientData/>
  </xdr:twoCellAnchor>
  <xdr:twoCellAnchor editAs="oneCell">
    <xdr:from>
      <xdr:col>10</xdr:col>
      <xdr:colOff>0</xdr:colOff>
      <xdr:row>11</xdr:row>
      <xdr:rowOff>0</xdr:rowOff>
    </xdr:from>
    <xdr:to>
      <xdr:col>10</xdr:col>
      <xdr:colOff>6095520</xdr:colOff>
      <xdr:row>11</xdr:row>
      <xdr:rowOff>4571640</xdr:rowOff>
    </xdr:to>
    <xdr:pic>
      <xdr:nvPicPr>
        <xdr:cNvPr id="9" name="Image 10" descr="Picture"/>
        <xdr:cNvPicPr/>
      </xdr:nvPicPr>
      <xdr:blipFill>
        <a:blip r:embed="rId10"/>
        <a:stretch/>
      </xdr:blipFill>
      <xdr:spPr>
        <a:xfrm>
          <a:off x="25341480" y="41528880"/>
          <a:ext cx="6095520" cy="4571640"/>
        </a:xfrm>
        <a:prstGeom prst="rect">
          <a:avLst/>
        </a:prstGeom>
        <a:ln w="0">
          <a:noFill/>
        </a:ln>
      </xdr:spPr>
    </xdr:pic>
    <xdr:clientData/>
  </xdr:twoCellAnchor>
  <xdr:twoCellAnchor editAs="oneCell">
    <xdr:from>
      <xdr:col>10</xdr:col>
      <xdr:colOff>0</xdr:colOff>
      <xdr:row>12</xdr:row>
      <xdr:rowOff>0</xdr:rowOff>
    </xdr:from>
    <xdr:to>
      <xdr:col>10</xdr:col>
      <xdr:colOff>6095520</xdr:colOff>
      <xdr:row>12</xdr:row>
      <xdr:rowOff>4571640</xdr:rowOff>
    </xdr:to>
    <xdr:pic>
      <xdr:nvPicPr>
        <xdr:cNvPr id="10" name="Image 11" descr="Picture"/>
        <xdr:cNvPicPr/>
      </xdr:nvPicPr>
      <xdr:blipFill>
        <a:blip r:embed="rId11"/>
        <a:stretch/>
      </xdr:blipFill>
      <xdr:spPr>
        <a:xfrm>
          <a:off x="25341480" y="46100880"/>
          <a:ext cx="6095520" cy="4571640"/>
        </a:xfrm>
        <a:prstGeom prst="rect">
          <a:avLst/>
        </a:prstGeom>
        <a:ln w="0">
          <a:noFill/>
        </a:ln>
      </xdr:spPr>
    </xdr:pic>
    <xdr:clientData/>
  </xdr:twoCellAnchor>
  <xdr:twoCellAnchor editAs="oneCell">
    <xdr:from>
      <xdr:col>10</xdr:col>
      <xdr:colOff>0</xdr:colOff>
      <xdr:row>13</xdr:row>
      <xdr:rowOff>0</xdr:rowOff>
    </xdr:from>
    <xdr:to>
      <xdr:col>10</xdr:col>
      <xdr:colOff>6095520</xdr:colOff>
      <xdr:row>13</xdr:row>
      <xdr:rowOff>4571640</xdr:rowOff>
    </xdr:to>
    <xdr:pic>
      <xdr:nvPicPr>
        <xdr:cNvPr id="11" name="Image 12" descr="Picture"/>
        <xdr:cNvPicPr/>
      </xdr:nvPicPr>
      <xdr:blipFill>
        <a:blip r:embed="rId12"/>
        <a:stretch/>
      </xdr:blipFill>
      <xdr:spPr>
        <a:xfrm>
          <a:off x="25341480" y="50672880"/>
          <a:ext cx="6095520" cy="4571640"/>
        </a:xfrm>
        <a:prstGeom prst="rect">
          <a:avLst/>
        </a:prstGeom>
        <a:ln w="0">
          <a:noFill/>
        </a:ln>
      </xdr:spPr>
    </xdr:pic>
    <xdr:clientData/>
  </xdr:twoCellAnchor>
  <xdr:twoCellAnchor editAs="oneCell">
    <xdr:from>
      <xdr:col>10</xdr:col>
      <xdr:colOff>0</xdr:colOff>
      <xdr:row>14</xdr:row>
      <xdr:rowOff>0</xdr:rowOff>
    </xdr:from>
    <xdr:to>
      <xdr:col>10</xdr:col>
      <xdr:colOff>6095520</xdr:colOff>
      <xdr:row>14</xdr:row>
      <xdr:rowOff>4571640</xdr:rowOff>
    </xdr:to>
    <xdr:pic>
      <xdr:nvPicPr>
        <xdr:cNvPr id="12" name="Image 13" descr="Picture"/>
        <xdr:cNvPicPr/>
      </xdr:nvPicPr>
      <xdr:blipFill>
        <a:blip r:embed="rId13"/>
        <a:stretch/>
      </xdr:blipFill>
      <xdr:spPr>
        <a:xfrm>
          <a:off x="25341480" y="55244880"/>
          <a:ext cx="6095520" cy="4571640"/>
        </a:xfrm>
        <a:prstGeom prst="rect">
          <a:avLst/>
        </a:prstGeom>
        <a:ln w="0">
          <a:noFill/>
        </a:ln>
      </xdr:spPr>
    </xdr:pic>
    <xdr:clientData/>
  </xdr:twoCellAnchor>
  <xdr:twoCellAnchor editAs="oneCell">
    <xdr:from>
      <xdr:col>10</xdr:col>
      <xdr:colOff>0</xdr:colOff>
      <xdr:row>15</xdr:row>
      <xdr:rowOff>0</xdr:rowOff>
    </xdr:from>
    <xdr:to>
      <xdr:col>10</xdr:col>
      <xdr:colOff>6095520</xdr:colOff>
      <xdr:row>15</xdr:row>
      <xdr:rowOff>4571640</xdr:rowOff>
    </xdr:to>
    <xdr:pic>
      <xdr:nvPicPr>
        <xdr:cNvPr id="13" name="Image 14" descr="Picture"/>
        <xdr:cNvPicPr/>
      </xdr:nvPicPr>
      <xdr:blipFill>
        <a:blip r:embed="rId14"/>
        <a:stretch/>
      </xdr:blipFill>
      <xdr:spPr>
        <a:xfrm>
          <a:off x="25341480" y="59816880"/>
          <a:ext cx="6095520" cy="4571640"/>
        </a:xfrm>
        <a:prstGeom prst="rect">
          <a:avLst/>
        </a:prstGeom>
        <a:ln w="0">
          <a:noFill/>
        </a:ln>
      </xdr:spPr>
    </xdr:pic>
    <xdr:clientData/>
  </xdr:twoCellAnchor>
  <xdr:twoCellAnchor editAs="oneCell">
    <xdr:from>
      <xdr:col>10</xdr:col>
      <xdr:colOff>0</xdr:colOff>
      <xdr:row>16</xdr:row>
      <xdr:rowOff>0</xdr:rowOff>
    </xdr:from>
    <xdr:to>
      <xdr:col>10</xdr:col>
      <xdr:colOff>6095520</xdr:colOff>
      <xdr:row>16</xdr:row>
      <xdr:rowOff>4571640</xdr:rowOff>
    </xdr:to>
    <xdr:pic>
      <xdr:nvPicPr>
        <xdr:cNvPr id="14" name="Image 15" descr="Picture"/>
        <xdr:cNvPicPr/>
      </xdr:nvPicPr>
      <xdr:blipFill>
        <a:blip r:embed="rId15"/>
        <a:stretch/>
      </xdr:blipFill>
      <xdr:spPr>
        <a:xfrm>
          <a:off x="25341480" y="64388880"/>
          <a:ext cx="6095520" cy="4571640"/>
        </a:xfrm>
        <a:prstGeom prst="rect">
          <a:avLst/>
        </a:prstGeom>
        <a:ln w="0">
          <a:noFill/>
        </a:ln>
      </xdr:spPr>
    </xdr:pic>
    <xdr:clientData/>
  </xdr:twoCellAnchor>
  <xdr:twoCellAnchor editAs="oneCell">
    <xdr:from>
      <xdr:col>10</xdr:col>
      <xdr:colOff>0</xdr:colOff>
      <xdr:row>17</xdr:row>
      <xdr:rowOff>0</xdr:rowOff>
    </xdr:from>
    <xdr:to>
      <xdr:col>10</xdr:col>
      <xdr:colOff>6095520</xdr:colOff>
      <xdr:row>17</xdr:row>
      <xdr:rowOff>4571640</xdr:rowOff>
    </xdr:to>
    <xdr:pic>
      <xdr:nvPicPr>
        <xdr:cNvPr id="15" name="Image 16" descr="Picture"/>
        <xdr:cNvPicPr/>
      </xdr:nvPicPr>
      <xdr:blipFill>
        <a:blip r:embed="rId16"/>
        <a:stretch/>
      </xdr:blipFill>
      <xdr:spPr>
        <a:xfrm>
          <a:off x="25341480" y="68960880"/>
          <a:ext cx="6095520" cy="4571640"/>
        </a:xfrm>
        <a:prstGeom prst="rect">
          <a:avLst/>
        </a:prstGeom>
        <a:ln w="0">
          <a:noFill/>
        </a:ln>
      </xdr:spPr>
    </xdr:pic>
    <xdr:clientData/>
  </xdr:twoCellAnchor>
  <xdr:twoCellAnchor editAs="oneCell">
    <xdr:from>
      <xdr:col>10</xdr:col>
      <xdr:colOff>0</xdr:colOff>
      <xdr:row>18</xdr:row>
      <xdr:rowOff>0</xdr:rowOff>
    </xdr:from>
    <xdr:to>
      <xdr:col>10</xdr:col>
      <xdr:colOff>6095520</xdr:colOff>
      <xdr:row>18</xdr:row>
      <xdr:rowOff>4571640</xdr:rowOff>
    </xdr:to>
    <xdr:pic>
      <xdr:nvPicPr>
        <xdr:cNvPr id="16" name="Image 17" descr="Picture"/>
        <xdr:cNvPicPr/>
      </xdr:nvPicPr>
      <xdr:blipFill>
        <a:blip r:embed="rId17"/>
        <a:stretch/>
      </xdr:blipFill>
      <xdr:spPr>
        <a:xfrm>
          <a:off x="25341480" y="73532880"/>
          <a:ext cx="6095520" cy="4571640"/>
        </a:xfrm>
        <a:prstGeom prst="rect">
          <a:avLst/>
        </a:prstGeom>
        <a:ln w="0">
          <a:noFill/>
        </a:ln>
      </xdr:spPr>
    </xdr:pic>
    <xdr:clientData/>
  </xdr:twoCellAnchor>
  <xdr:twoCellAnchor editAs="oneCell">
    <xdr:from>
      <xdr:col>10</xdr:col>
      <xdr:colOff>0</xdr:colOff>
      <xdr:row>19</xdr:row>
      <xdr:rowOff>0</xdr:rowOff>
    </xdr:from>
    <xdr:to>
      <xdr:col>10</xdr:col>
      <xdr:colOff>6095520</xdr:colOff>
      <xdr:row>19</xdr:row>
      <xdr:rowOff>4571640</xdr:rowOff>
    </xdr:to>
    <xdr:pic>
      <xdr:nvPicPr>
        <xdr:cNvPr id="17" name="Image 18" descr="Picture"/>
        <xdr:cNvPicPr/>
      </xdr:nvPicPr>
      <xdr:blipFill>
        <a:blip r:embed="rId18"/>
        <a:stretch/>
      </xdr:blipFill>
      <xdr:spPr>
        <a:xfrm>
          <a:off x="25341480" y="78104880"/>
          <a:ext cx="6095520" cy="4571640"/>
        </a:xfrm>
        <a:prstGeom prst="rect">
          <a:avLst/>
        </a:prstGeom>
        <a:ln w="0">
          <a:noFill/>
        </a:ln>
      </xdr:spPr>
    </xdr:pic>
    <xdr:clientData/>
  </xdr:twoCellAnchor>
  <xdr:twoCellAnchor editAs="oneCell">
    <xdr:from>
      <xdr:col>10</xdr:col>
      <xdr:colOff>0</xdr:colOff>
      <xdr:row>20</xdr:row>
      <xdr:rowOff>0</xdr:rowOff>
    </xdr:from>
    <xdr:to>
      <xdr:col>10</xdr:col>
      <xdr:colOff>6095520</xdr:colOff>
      <xdr:row>20</xdr:row>
      <xdr:rowOff>4571640</xdr:rowOff>
    </xdr:to>
    <xdr:pic>
      <xdr:nvPicPr>
        <xdr:cNvPr id="18" name="Image 19" descr="Picture"/>
        <xdr:cNvPicPr/>
      </xdr:nvPicPr>
      <xdr:blipFill>
        <a:blip r:embed="rId19"/>
        <a:stretch/>
      </xdr:blipFill>
      <xdr:spPr>
        <a:xfrm>
          <a:off x="25341480" y="82676880"/>
          <a:ext cx="6095520" cy="4571640"/>
        </a:xfrm>
        <a:prstGeom prst="rect">
          <a:avLst/>
        </a:prstGeom>
        <a:ln w="0">
          <a:noFill/>
        </a:ln>
      </xdr:spPr>
    </xdr:pic>
    <xdr:clientData/>
  </xdr:twoCellAnchor>
  <xdr:twoCellAnchor editAs="oneCell">
    <xdr:from>
      <xdr:col>10</xdr:col>
      <xdr:colOff>0</xdr:colOff>
      <xdr:row>21</xdr:row>
      <xdr:rowOff>0</xdr:rowOff>
    </xdr:from>
    <xdr:to>
      <xdr:col>10</xdr:col>
      <xdr:colOff>6095520</xdr:colOff>
      <xdr:row>21</xdr:row>
      <xdr:rowOff>4571640</xdr:rowOff>
    </xdr:to>
    <xdr:pic>
      <xdr:nvPicPr>
        <xdr:cNvPr id="19" name="Image 20" descr="Picture"/>
        <xdr:cNvPicPr/>
      </xdr:nvPicPr>
      <xdr:blipFill>
        <a:blip r:embed="rId20"/>
        <a:stretch/>
      </xdr:blipFill>
      <xdr:spPr>
        <a:xfrm>
          <a:off x="25341480" y="87248880"/>
          <a:ext cx="6095520" cy="4571640"/>
        </a:xfrm>
        <a:prstGeom prst="rect">
          <a:avLst/>
        </a:prstGeom>
        <a:ln w="0">
          <a:noFill/>
        </a:ln>
      </xdr:spPr>
    </xdr:pic>
    <xdr:clientData/>
  </xdr:twoCellAnchor>
  <xdr:twoCellAnchor editAs="oneCell">
    <xdr:from>
      <xdr:col>10</xdr:col>
      <xdr:colOff>0</xdr:colOff>
      <xdr:row>22</xdr:row>
      <xdr:rowOff>0</xdr:rowOff>
    </xdr:from>
    <xdr:to>
      <xdr:col>10</xdr:col>
      <xdr:colOff>6095520</xdr:colOff>
      <xdr:row>22</xdr:row>
      <xdr:rowOff>4571640</xdr:rowOff>
    </xdr:to>
    <xdr:pic>
      <xdr:nvPicPr>
        <xdr:cNvPr id="20" name="Image 21" descr="Picture"/>
        <xdr:cNvPicPr/>
      </xdr:nvPicPr>
      <xdr:blipFill>
        <a:blip r:embed="rId21"/>
        <a:stretch/>
      </xdr:blipFill>
      <xdr:spPr>
        <a:xfrm>
          <a:off x="25341480" y="91820880"/>
          <a:ext cx="6095520" cy="4571640"/>
        </a:xfrm>
        <a:prstGeom prst="rect">
          <a:avLst/>
        </a:prstGeom>
        <a:ln w="0">
          <a:noFill/>
        </a:ln>
      </xdr:spPr>
    </xdr:pic>
    <xdr:clientData/>
  </xdr:twoCellAnchor>
  <xdr:twoCellAnchor editAs="oneCell">
    <xdr:from>
      <xdr:col>10</xdr:col>
      <xdr:colOff>0</xdr:colOff>
      <xdr:row>23</xdr:row>
      <xdr:rowOff>0</xdr:rowOff>
    </xdr:from>
    <xdr:to>
      <xdr:col>10</xdr:col>
      <xdr:colOff>6095520</xdr:colOff>
      <xdr:row>23</xdr:row>
      <xdr:rowOff>4571640</xdr:rowOff>
    </xdr:to>
    <xdr:pic>
      <xdr:nvPicPr>
        <xdr:cNvPr id="21" name="Image 22" descr="Picture"/>
        <xdr:cNvPicPr/>
      </xdr:nvPicPr>
      <xdr:blipFill>
        <a:blip r:embed="rId22"/>
        <a:stretch/>
      </xdr:blipFill>
      <xdr:spPr>
        <a:xfrm>
          <a:off x="25341480" y="96392880"/>
          <a:ext cx="6095520" cy="4571640"/>
        </a:xfrm>
        <a:prstGeom prst="rect">
          <a:avLst/>
        </a:prstGeom>
        <a:ln w="0">
          <a:noFill/>
        </a:ln>
      </xdr:spPr>
    </xdr:pic>
    <xdr:clientData/>
  </xdr:twoCellAnchor>
  <xdr:twoCellAnchor editAs="oneCell">
    <xdr:from>
      <xdr:col>10</xdr:col>
      <xdr:colOff>0</xdr:colOff>
      <xdr:row>24</xdr:row>
      <xdr:rowOff>0</xdr:rowOff>
    </xdr:from>
    <xdr:to>
      <xdr:col>10</xdr:col>
      <xdr:colOff>6095520</xdr:colOff>
      <xdr:row>24</xdr:row>
      <xdr:rowOff>4571640</xdr:rowOff>
    </xdr:to>
    <xdr:pic>
      <xdr:nvPicPr>
        <xdr:cNvPr id="22" name="Image 23" descr="Picture"/>
        <xdr:cNvPicPr/>
      </xdr:nvPicPr>
      <xdr:blipFill>
        <a:blip r:embed="rId23"/>
        <a:stretch/>
      </xdr:blipFill>
      <xdr:spPr>
        <a:xfrm>
          <a:off x="25341480" y="100964880"/>
          <a:ext cx="6095520" cy="4571640"/>
        </a:xfrm>
        <a:prstGeom prst="rect">
          <a:avLst/>
        </a:prstGeom>
        <a:ln w="0">
          <a:noFill/>
        </a:ln>
      </xdr:spPr>
    </xdr:pic>
    <xdr:clientData/>
  </xdr:twoCellAnchor>
  <xdr:twoCellAnchor editAs="oneCell">
    <xdr:from>
      <xdr:col>10</xdr:col>
      <xdr:colOff>0</xdr:colOff>
      <xdr:row>25</xdr:row>
      <xdr:rowOff>0</xdr:rowOff>
    </xdr:from>
    <xdr:to>
      <xdr:col>10</xdr:col>
      <xdr:colOff>6095520</xdr:colOff>
      <xdr:row>25</xdr:row>
      <xdr:rowOff>4571640</xdr:rowOff>
    </xdr:to>
    <xdr:pic>
      <xdr:nvPicPr>
        <xdr:cNvPr id="23" name="Image 24" descr="Picture"/>
        <xdr:cNvPicPr/>
      </xdr:nvPicPr>
      <xdr:blipFill>
        <a:blip r:embed="rId24"/>
        <a:stretch/>
      </xdr:blipFill>
      <xdr:spPr>
        <a:xfrm>
          <a:off x="25341480" y="105536880"/>
          <a:ext cx="6095520" cy="4571640"/>
        </a:xfrm>
        <a:prstGeom prst="rect">
          <a:avLst/>
        </a:prstGeom>
        <a:ln w="0">
          <a:noFill/>
        </a:ln>
      </xdr:spPr>
    </xdr:pic>
    <xdr:clientData/>
  </xdr:twoCellAnchor>
  <xdr:twoCellAnchor editAs="oneCell">
    <xdr:from>
      <xdr:col>10</xdr:col>
      <xdr:colOff>0</xdr:colOff>
      <xdr:row>26</xdr:row>
      <xdr:rowOff>0</xdr:rowOff>
    </xdr:from>
    <xdr:to>
      <xdr:col>10</xdr:col>
      <xdr:colOff>6095520</xdr:colOff>
      <xdr:row>26</xdr:row>
      <xdr:rowOff>4571640</xdr:rowOff>
    </xdr:to>
    <xdr:pic>
      <xdr:nvPicPr>
        <xdr:cNvPr id="24" name="Image 25" descr="Picture"/>
        <xdr:cNvPicPr/>
      </xdr:nvPicPr>
      <xdr:blipFill>
        <a:blip r:embed="rId25"/>
        <a:stretch/>
      </xdr:blipFill>
      <xdr:spPr>
        <a:xfrm>
          <a:off x="25341480" y="110108880"/>
          <a:ext cx="6095520" cy="4571640"/>
        </a:xfrm>
        <a:prstGeom prst="rect">
          <a:avLst/>
        </a:prstGeom>
        <a:ln w="0">
          <a:noFill/>
        </a:ln>
      </xdr:spPr>
    </xdr:pic>
    <xdr:clientData/>
  </xdr:twoCellAnchor>
  <xdr:twoCellAnchor editAs="oneCell">
    <xdr:from>
      <xdr:col>10</xdr:col>
      <xdr:colOff>0</xdr:colOff>
      <xdr:row>27</xdr:row>
      <xdr:rowOff>0</xdr:rowOff>
    </xdr:from>
    <xdr:to>
      <xdr:col>10</xdr:col>
      <xdr:colOff>6095520</xdr:colOff>
      <xdr:row>27</xdr:row>
      <xdr:rowOff>4571640</xdr:rowOff>
    </xdr:to>
    <xdr:pic>
      <xdr:nvPicPr>
        <xdr:cNvPr id="25" name="Image 26" descr="Picture"/>
        <xdr:cNvPicPr/>
      </xdr:nvPicPr>
      <xdr:blipFill>
        <a:blip r:embed="rId26"/>
        <a:stretch/>
      </xdr:blipFill>
      <xdr:spPr>
        <a:xfrm>
          <a:off x="25341480" y="114680880"/>
          <a:ext cx="6095520" cy="4571640"/>
        </a:xfrm>
        <a:prstGeom prst="rect">
          <a:avLst/>
        </a:prstGeom>
        <a:ln w="0">
          <a:noFill/>
        </a:ln>
      </xdr:spPr>
    </xdr:pic>
    <xdr:clientData/>
  </xdr:twoCellAnchor>
  <xdr:twoCellAnchor editAs="oneCell">
    <xdr:from>
      <xdr:col>10</xdr:col>
      <xdr:colOff>0</xdr:colOff>
      <xdr:row>28</xdr:row>
      <xdr:rowOff>0</xdr:rowOff>
    </xdr:from>
    <xdr:to>
      <xdr:col>10</xdr:col>
      <xdr:colOff>6095520</xdr:colOff>
      <xdr:row>28</xdr:row>
      <xdr:rowOff>4571640</xdr:rowOff>
    </xdr:to>
    <xdr:pic>
      <xdr:nvPicPr>
        <xdr:cNvPr id="26" name="Image 27" descr="Picture"/>
        <xdr:cNvPicPr/>
      </xdr:nvPicPr>
      <xdr:blipFill>
        <a:blip r:embed="rId27"/>
        <a:stretch/>
      </xdr:blipFill>
      <xdr:spPr>
        <a:xfrm>
          <a:off x="25341480" y="119252880"/>
          <a:ext cx="6095520" cy="4571640"/>
        </a:xfrm>
        <a:prstGeom prst="rect">
          <a:avLst/>
        </a:prstGeom>
        <a:ln w="0">
          <a:noFill/>
        </a:ln>
      </xdr:spPr>
    </xdr:pic>
    <xdr:clientData/>
  </xdr:twoCellAnchor>
  <xdr:twoCellAnchor editAs="oneCell">
    <xdr:from>
      <xdr:col>10</xdr:col>
      <xdr:colOff>0</xdr:colOff>
      <xdr:row>29</xdr:row>
      <xdr:rowOff>0</xdr:rowOff>
    </xdr:from>
    <xdr:to>
      <xdr:col>10</xdr:col>
      <xdr:colOff>6095520</xdr:colOff>
      <xdr:row>29</xdr:row>
      <xdr:rowOff>4571640</xdr:rowOff>
    </xdr:to>
    <xdr:pic>
      <xdr:nvPicPr>
        <xdr:cNvPr id="27" name="Image 28" descr="Picture"/>
        <xdr:cNvPicPr/>
      </xdr:nvPicPr>
      <xdr:blipFill>
        <a:blip r:embed="rId28"/>
        <a:stretch/>
      </xdr:blipFill>
      <xdr:spPr>
        <a:xfrm>
          <a:off x="25341480" y="123824880"/>
          <a:ext cx="6095520" cy="4571640"/>
        </a:xfrm>
        <a:prstGeom prst="rect">
          <a:avLst/>
        </a:prstGeom>
        <a:ln w="0">
          <a:noFill/>
        </a:ln>
      </xdr:spPr>
    </xdr:pic>
    <xdr:clientData/>
  </xdr:twoCellAnchor>
  <xdr:twoCellAnchor editAs="oneCell">
    <xdr:from>
      <xdr:col>10</xdr:col>
      <xdr:colOff>0</xdr:colOff>
      <xdr:row>30</xdr:row>
      <xdr:rowOff>0</xdr:rowOff>
    </xdr:from>
    <xdr:to>
      <xdr:col>10</xdr:col>
      <xdr:colOff>6095520</xdr:colOff>
      <xdr:row>30</xdr:row>
      <xdr:rowOff>4571640</xdr:rowOff>
    </xdr:to>
    <xdr:pic>
      <xdr:nvPicPr>
        <xdr:cNvPr id="28" name="Image 29" descr="Picture"/>
        <xdr:cNvPicPr/>
      </xdr:nvPicPr>
      <xdr:blipFill>
        <a:blip r:embed="rId29"/>
        <a:stretch/>
      </xdr:blipFill>
      <xdr:spPr>
        <a:xfrm>
          <a:off x="25341480" y="128396880"/>
          <a:ext cx="6095520" cy="4571640"/>
        </a:xfrm>
        <a:prstGeom prst="rect">
          <a:avLst/>
        </a:prstGeom>
        <a:ln w="0">
          <a:noFill/>
        </a:ln>
      </xdr:spPr>
    </xdr:pic>
    <xdr:clientData/>
  </xdr:twoCellAnchor>
  <xdr:twoCellAnchor editAs="oneCell">
    <xdr:from>
      <xdr:col>10</xdr:col>
      <xdr:colOff>0</xdr:colOff>
      <xdr:row>31</xdr:row>
      <xdr:rowOff>0</xdr:rowOff>
    </xdr:from>
    <xdr:to>
      <xdr:col>10</xdr:col>
      <xdr:colOff>6095520</xdr:colOff>
      <xdr:row>31</xdr:row>
      <xdr:rowOff>4571640</xdr:rowOff>
    </xdr:to>
    <xdr:pic>
      <xdr:nvPicPr>
        <xdr:cNvPr id="29" name="Image 30" descr="Picture"/>
        <xdr:cNvPicPr/>
      </xdr:nvPicPr>
      <xdr:blipFill>
        <a:blip r:embed="rId30"/>
        <a:stretch/>
      </xdr:blipFill>
      <xdr:spPr>
        <a:xfrm>
          <a:off x="25341480" y="132968880"/>
          <a:ext cx="6095520" cy="4571640"/>
        </a:xfrm>
        <a:prstGeom prst="rect">
          <a:avLst/>
        </a:prstGeom>
        <a:ln w="0">
          <a:noFill/>
        </a:ln>
      </xdr:spPr>
    </xdr:pic>
    <xdr:clientData/>
  </xdr:twoCellAnchor>
  <xdr:twoCellAnchor editAs="oneCell">
    <xdr:from>
      <xdr:col>10</xdr:col>
      <xdr:colOff>0</xdr:colOff>
      <xdr:row>32</xdr:row>
      <xdr:rowOff>0</xdr:rowOff>
    </xdr:from>
    <xdr:to>
      <xdr:col>10</xdr:col>
      <xdr:colOff>6095520</xdr:colOff>
      <xdr:row>32</xdr:row>
      <xdr:rowOff>4571640</xdr:rowOff>
    </xdr:to>
    <xdr:pic>
      <xdr:nvPicPr>
        <xdr:cNvPr id="30" name="Image 31" descr="Picture"/>
        <xdr:cNvPicPr/>
      </xdr:nvPicPr>
      <xdr:blipFill>
        <a:blip r:embed="rId31"/>
        <a:stretch/>
      </xdr:blipFill>
      <xdr:spPr>
        <a:xfrm>
          <a:off x="25341480" y="137540880"/>
          <a:ext cx="6095520" cy="4571640"/>
        </a:xfrm>
        <a:prstGeom prst="rect">
          <a:avLst/>
        </a:prstGeom>
        <a:ln w="0">
          <a:noFill/>
        </a:ln>
      </xdr:spPr>
    </xdr:pic>
    <xdr:clientData/>
  </xdr:twoCellAnchor>
  <xdr:twoCellAnchor editAs="oneCell">
    <xdr:from>
      <xdr:col>10</xdr:col>
      <xdr:colOff>0</xdr:colOff>
      <xdr:row>33</xdr:row>
      <xdr:rowOff>0</xdr:rowOff>
    </xdr:from>
    <xdr:to>
      <xdr:col>10</xdr:col>
      <xdr:colOff>6095520</xdr:colOff>
      <xdr:row>33</xdr:row>
      <xdr:rowOff>4571640</xdr:rowOff>
    </xdr:to>
    <xdr:pic>
      <xdr:nvPicPr>
        <xdr:cNvPr id="31" name="Image 32" descr="Picture"/>
        <xdr:cNvPicPr/>
      </xdr:nvPicPr>
      <xdr:blipFill>
        <a:blip r:embed="rId32"/>
        <a:stretch/>
      </xdr:blipFill>
      <xdr:spPr>
        <a:xfrm>
          <a:off x="25341480" y="142112880"/>
          <a:ext cx="6095520" cy="4571640"/>
        </a:xfrm>
        <a:prstGeom prst="rect">
          <a:avLst/>
        </a:prstGeom>
        <a:ln w="0">
          <a:noFill/>
        </a:ln>
      </xdr:spPr>
    </xdr:pic>
    <xdr:clientData/>
  </xdr:twoCellAnchor>
  <xdr:twoCellAnchor editAs="oneCell">
    <xdr:from>
      <xdr:col>10</xdr:col>
      <xdr:colOff>0</xdr:colOff>
      <xdr:row>34</xdr:row>
      <xdr:rowOff>0</xdr:rowOff>
    </xdr:from>
    <xdr:to>
      <xdr:col>10</xdr:col>
      <xdr:colOff>6095520</xdr:colOff>
      <xdr:row>34</xdr:row>
      <xdr:rowOff>4571640</xdr:rowOff>
    </xdr:to>
    <xdr:pic>
      <xdr:nvPicPr>
        <xdr:cNvPr id="32" name="Image 33" descr="Picture"/>
        <xdr:cNvPicPr/>
      </xdr:nvPicPr>
      <xdr:blipFill>
        <a:blip r:embed="rId33"/>
        <a:stretch/>
      </xdr:blipFill>
      <xdr:spPr>
        <a:xfrm>
          <a:off x="25341480" y="146684880"/>
          <a:ext cx="6095520" cy="4571640"/>
        </a:xfrm>
        <a:prstGeom prst="rect">
          <a:avLst/>
        </a:prstGeom>
        <a:ln w="0">
          <a:noFill/>
        </a:ln>
      </xdr:spPr>
    </xdr:pic>
    <xdr:clientData/>
  </xdr:twoCellAnchor>
  <xdr:twoCellAnchor editAs="oneCell">
    <xdr:from>
      <xdr:col>10</xdr:col>
      <xdr:colOff>0</xdr:colOff>
      <xdr:row>35</xdr:row>
      <xdr:rowOff>0</xdr:rowOff>
    </xdr:from>
    <xdr:to>
      <xdr:col>10</xdr:col>
      <xdr:colOff>6095520</xdr:colOff>
      <xdr:row>35</xdr:row>
      <xdr:rowOff>4571640</xdr:rowOff>
    </xdr:to>
    <xdr:pic>
      <xdr:nvPicPr>
        <xdr:cNvPr id="33" name="Image 34" descr="Picture"/>
        <xdr:cNvPicPr/>
      </xdr:nvPicPr>
      <xdr:blipFill>
        <a:blip r:embed="rId34"/>
        <a:stretch/>
      </xdr:blipFill>
      <xdr:spPr>
        <a:xfrm>
          <a:off x="25341480" y="151256880"/>
          <a:ext cx="6095520" cy="4571640"/>
        </a:xfrm>
        <a:prstGeom prst="rect">
          <a:avLst/>
        </a:prstGeom>
        <a:ln w="0">
          <a:noFill/>
        </a:ln>
      </xdr:spPr>
    </xdr:pic>
    <xdr:clientData/>
  </xdr:twoCellAnchor>
  <xdr:twoCellAnchor editAs="oneCell">
    <xdr:from>
      <xdr:col>10</xdr:col>
      <xdr:colOff>0</xdr:colOff>
      <xdr:row>36</xdr:row>
      <xdr:rowOff>0</xdr:rowOff>
    </xdr:from>
    <xdr:to>
      <xdr:col>10</xdr:col>
      <xdr:colOff>6095520</xdr:colOff>
      <xdr:row>36</xdr:row>
      <xdr:rowOff>4571640</xdr:rowOff>
    </xdr:to>
    <xdr:pic>
      <xdr:nvPicPr>
        <xdr:cNvPr id="34" name="Image 35" descr="Picture"/>
        <xdr:cNvPicPr/>
      </xdr:nvPicPr>
      <xdr:blipFill>
        <a:blip r:embed="rId35"/>
        <a:stretch/>
      </xdr:blipFill>
      <xdr:spPr>
        <a:xfrm>
          <a:off x="25341480" y="155828880"/>
          <a:ext cx="6095520" cy="4571640"/>
        </a:xfrm>
        <a:prstGeom prst="rect">
          <a:avLst/>
        </a:prstGeom>
        <a:ln w="0">
          <a:noFill/>
        </a:ln>
      </xdr:spPr>
    </xdr:pic>
    <xdr:clientData/>
  </xdr:twoCellAnchor>
  <xdr:twoCellAnchor editAs="oneCell">
    <xdr:from>
      <xdr:col>10</xdr:col>
      <xdr:colOff>0</xdr:colOff>
      <xdr:row>37</xdr:row>
      <xdr:rowOff>0</xdr:rowOff>
    </xdr:from>
    <xdr:to>
      <xdr:col>10</xdr:col>
      <xdr:colOff>6095520</xdr:colOff>
      <xdr:row>37</xdr:row>
      <xdr:rowOff>4571640</xdr:rowOff>
    </xdr:to>
    <xdr:pic>
      <xdr:nvPicPr>
        <xdr:cNvPr id="35" name="Image 36" descr="Picture"/>
        <xdr:cNvPicPr/>
      </xdr:nvPicPr>
      <xdr:blipFill>
        <a:blip r:embed="rId36"/>
        <a:stretch/>
      </xdr:blipFill>
      <xdr:spPr>
        <a:xfrm>
          <a:off x="25341480" y="160400880"/>
          <a:ext cx="6095520" cy="4571640"/>
        </a:xfrm>
        <a:prstGeom prst="rect">
          <a:avLst/>
        </a:prstGeom>
        <a:ln w="0">
          <a:noFill/>
        </a:ln>
      </xdr:spPr>
    </xdr:pic>
    <xdr:clientData/>
  </xdr:twoCellAnchor>
  <xdr:twoCellAnchor editAs="oneCell">
    <xdr:from>
      <xdr:col>10</xdr:col>
      <xdr:colOff>0</xdr:colOff>
      <xdr:row>38</xdr:row>
      <xdr:rowOff>0</xdr:rowOff>
    </xdr:from>
    <xdr:to>
      <xdr:col>10</xdr:col>
      <xdr:colOff>6095520</xdr:colOff>
      <xdr:row>38</xdr:row>
      <xdr:rowOff>4571640</xdr:rowOff>
    </xdr:to>
    <xdr:pic>
      <xdr:nvPicPr>
        <xdr:cNvPr id="36" name="Image 37" descr="Picture"/>
        <xdr:cNvPicPr/>
      </xdr:nvPicPr>
      <xdr:blipFill>
        <a:blip r:embed="rId37"/>
        <a:stretch/>
      </xdr:blipFill>
      <xdr:spPr>
        <a:xfrm>
          <a:off x="25341480" y="164972880"/>
          <a:ext cx="6095520" cy="4571640"/>
        </a:xfrm>
        <a:prstGeom prst="rect">
          <a:avLst/>
        </a:prstGeom>
        <a:ln w="0">
          <a:noFill/>
        </a:ln>
      </xdr:spPr>
    </xdr:pic>
    <xdr:clientData/>
  </xdr:twoCellAnchor>
  <xdr:twoCellAnchor editAs="oneCell">
    <xdr:from>
      <xdr:col>10</xdr:col>
      <xdr:colOff>0</xdr:colOff>
      <xdr:row>39</xdr:row>
      <xdr:rowOff>0</xdr:rowOff>
    </xdr:from>
    <xdr:to>
      <xdr:col>10</xdr:col>
      <xdr:colOff>6095520</xdr:colOff>
      <xdr:row>39</xdr:row>
      <xdr:rowOff>4571640</xdr:rowOff>
    </xdr:to>
    <xdr:pic>
      <xdr:nvPicPr>
        <xdr:cNvPr id="37" name="Image 38" descr="Picture"/>
        <xdr:cNvPicPr/>
      </xdr:nvPicPr>
      <xdr:blipFill>
        <a:blip r:embed="rId38"/>
        <a:stretch/>
      </xdr:blipFill>
      <xdr:spPr>
        <a:xfrm>
          <a:off x="25341480" y="169544880"/>
          <a:ext cx="6095520" cy="4571640"/>
        </a:xfrm>
        <a:prstGeom prst="rect">
          <a:avLst/>
        </a:prstGeom>
        <a:ln w="0">
          <a:noFill/>
        </a:ln>
      </xdr:spPr>
    </xdr:pic>
    <xdr:clientData/>
  </xdr:twoCellAnchor>
  <xdr:twoCellAnchor editAs="oneCell">
    <xdr:from>
      <xdr:col>10</xdr:col>
      <xdr:colOff>0</xdr:colOff>
      <xdr:row>40</xdr:row>
      <xdr:rowOff>0</xdr:rowOff>
    </xdr:from>
    <xdr:to>
      <xdr:col>10</xdr:col>
      <xdr:colOff>6095520</xdr:colOff>
      <xdr:row>40</xdr:row>
      <xdr:rowOff>4571640</xdr:rowOff>
    </xdr:to>
    <xdr:pic>
      <xdr:nvPicPr>
        <xdr:cNvPr id="38" name="Image 39" descr="Picture"/>
        <xdr:cNvPicPr/>
      </xdr:nvPicPr>
      <xdr:blipFill>
        <a:blip r:embed="rId39"/>
        <a:stretch/>
      </xdr:blipFill>
      <xdr:spPr>
        <a:xfrm>
          <a:off x="25341480" y="174116880"/>
          <a:ext cx="6095520" cy="4571640"/>
        </a:xfrm>
        <a:prstGeom prst="rect">
          <a:avLst/>
        </a:prstGeom>
        <a:ln w="0">
          <a:noFill/>
        </a:ln>
      </xdr:spPr>
    </xdr:pic>
    <xdr:clientData/>
  </xdr:twoCellAnchor>
  <xdr:twoCellAnchor editAs="oneCell">
    <xdr:from>
      <xdr:col>10</xdr:col>
      <xdr:colOff>0</xdr:colOff>
      <xdr:row>41</xdr:row>
      <xdr:rowOff>0</xdr:rowOff>
    </xdr:from>
    <xdr:to>
      <xdr:col>10</xdr:col>
      <xdr:colOff>6095520</xdr:colOff>
      <xdr:row>41</xdr:row>
      <xdr:rowOff>4571640</xdr:rowOff>
    </xdr:to>
    <xdr:pic>
      <xdr:nvPicPr>
        <xdr:cNvPr id="39" name="Image 40" descr="Picture"/>
        <xdr:cNvPicPr/>
      </xdr:nvPicPr>
      <xdr:blipFill>
        <a:blip r:embed="rId40"/>
        <a:stretch/>
      </xdr:blipFill>
      <xdr:spPr>
        <a:xfrm>
          <a:off x="25341480" y="178688880"/>
          <a:ext cx="6095520" cy="4571640"/>
        </a:xfrm>
        <a:prstGeom prst="rect">
          <a:avLst/>
        </a:prstGeom>
        <a:ln w="0">
          <a:noFill/>
        </a:ln>
      </xdr:spPr>
    </xdr:pic>
    <xdr:clientData/>
  </xdr:twoCellAnchor>
  <xdr:twoCellAnchor editAs="oneCell">
    <xdr:from>
      <xdr:col>10</xdr:col>
      <xdr:colOff>0</xdr:colOff>
      <xdr:row>42</xdr:row>
      <xdr:rowOff>0</xdr:rowOff>
    </xdr:from>
    <xdr:to>
      <xdr:col>10</xdr:col>
      <xdr:colOff>6095520</xdr:colOff>
      <xdr:row>42</xdr:row>
      <xdr:rowOff>4571640</xdr:rowOff>
    </xdr:to>
    <xdr:pic>
      <xdr:nvPicPr>
        <xdr:cNvPr id="40" name="Image 41" descr="Picture"/>
        <xdr:cNvPicPr/>
      </xdr:nvPicPr>
      <xdr:blipFill>
        <a:blip r:embed="rId41"/>
        <a:stretch/>
      </xdr:blipFill>
      <xdr:spPr>
        <a:xfrm>
          <a:off x="25341480" y="183260880"/>
          <a:ext cx="6095520" cy="4571640"/>
        </a:xfrm>
        <a:prstGeom prst="rect">
          <a:avLst/>
        </a:prstGeom>
        <a:ln w="0">
          <a:noFill/>
        </a:ln>
      </xdr:spPr>
    </xdr:pic>
    <xdr:clientData/>
  </xdr:twoCellAnchor>
  <xdr:twoCellAnchor editAs="oneCell">
    <xdr:from>
      <xdr:col>10</xdr:col>
      <xdr:colOff>0</xdr:colOff>
      <xdr:row>43</xdr:row>
      <xdr:rowOff>0</xdr:rowOff>
    </xdr:from>
    <xdr:to>
      <xdr:col>10</xdr:col>
      <xdr:colOff>6095520</xdr:colOff>
      <xdr:row>43</xdr:row>
      <xdr:rowOff>4571640</xdr:rowOff>
    </xdr:to>
    <xdr:pic>
      <xdr:nvPicPr>
        <xdr:cNvPr id="41" name="Image 42" descr="Picture"/>
        <xdr:cNvPicPr/>
      </xdr:nvPicPr>
      <xdr:blipFill>
        <a:blip r:embed="rId42"/>
        <a:stretch/>
      </xdr:blipFill>
      <xdr:spPr>
        <a:xfrm>
          <a:off x="25341480" y="187832880"/>
          <a:ext cx="6095520" cy="4571640"/>
        </a:xfrm>
        <a:prstGeom prst="rect">
          <a:avLst/>
        </a:prstGeom>
        <a:ln w="0">
          <a:noFill/>
        </a:ln>
      </xdr:spPr>
    </xdr:pic>
    <xdr:clientData/>
  </xdr:twoCellAnchor>
  <xdr:twoCellAnchor editAs="oneCell">
    <xdr:from>
      <xdr:col>10</xdr:col>
      <xdr:colOff>0</xdr:colOff>
      <xdr:row>44</xdr:row>
      <xdr:rowOff>0</xdr:rowOff>
    </xdr:from>
    <xdr:to>
      <xdr:col>10</xdr:col>
      <xdr:colOff>6095520</xdr:colOff>
      <xdr:row>44</xdr:row>
      <xdr:rowOff>4571640</xdr:rowOff>
    </xdr:to>
    <xdr:pic>
      <xdr:nvPicPr>
        <xdr:cNvPr id="42" name="Image 43" descr="Picture"/>
        <xdr:cNvPicPr/>
      </xdr:nvPicPr>
      <xdr:blipFill>
        <a:blip r:embed="rId43"/>
        <a:stretch/>
      </xdr:blipFill>
      <xdr:spPr>
        <a:xfrm>
          <a:off x="25341480" y="192404880"/>
          <a:ext cx="6095520" cy="4571640"/>
        </a:xfrm>
        <a:prstGeom prst="rect">
          <a:avLst/>
        </a:prstGeom>
        <a:ln w="0">
          <a:noFill/>
        </a:ln>
      </xdr:spPr>
    </xdr:pic>
    <xdr:clientData/>
  </xdr:twoCellAnchor>
  <xdr:twoCellAnchor editAs="oneCell">
    <xdr:from>
      <xdr:col>10</xdr:col>
      <xdr:colOff>0</xdr:colOff>
      <xdr:row>45</xdr:row>
      <xdr:rowOff>0</xdr:rowOff>
    </xdr:from>
    <xdr:to>
      <xdr:col>10</xdr:col>
      <xdr:colOff>6095520</xdr:colOff>
      <xdr:row>45</xdr:row>
      <xdr:rowOff>4571640</xdr:rowOff>
    </xdr:to>
    <xdr:pic>
      <xdr:nvPicPr>
        <xdr:cNvPr id="43" name="Image 44" descr="Picture"/>
        <xdr:cNvPicPr/>
      </xdr:nvPicPr>
      <xdr:blipFill>
        <a:blip r:embed="rId44"/>
        <a:stretch/>
      </xdr:blipFill>
      <xdr:spPr>
        <a:xfrm>
          <a:off x="25341480" y="196976880"/>
          <a:ext cx="6095520" cy="4571640"/>
        </a:xfrm>
        <a:prstGeom prst="rect">
          <a:avLst/>
        </a:prstGeom>
        <a:ln w="0">
          <a:noFill/>
        </a:ln>
      </xdr:spPr>
    </xdr:pic>
    <xdr:clientData/>
  </xdr:twoCellAnchor>
  <xdr:twoCellAnchor editAs="oneCell">
    <xdr:from>
      <xdr:col>10</xdr:col>
      <xdr:colOff>0</xdr:colOff>
      <xdr:row>46</xdr:row>
      <xdr:rowOff>0</xdr:rowOff>
    </xdr:from>
    <xdr:to>
      <xdr:col>10</xdr:col>
      <xdr:colOff>6095520</xdr:colOff>
      <xdr:row>46</xdr:row>
      <xdr:rowOff>4571640</xdr:rowOff>
    </xdr:to>
    <xdr:pic>
      <xdr:nvPicPr>
        <xdr:cNvPr id="44" name="Image 45" descr="Picture"/>
        <xdr:cNvPicPr/>
      </xdr:nvPicPr>
      <xdr:blipFill>
        <a:blip r:embed="rId45"/>
        <a:stretch/>
      </xdr:blipFill>
      <xdr:spPr>
        <a:xfrm>
          <a:off x="25341480" y="201548880"/>
          <a:ext cx="6095520" cy="4571640"/>
        </a:xfrm>
        <a:prstGeom prst="rect">
          <a:avLst/>
        </a:prstGeom>
        <a:ln w="0">
          <a:noFill/>
        </a:ln>
      </xdr:spPr>
    </xdr:pic>
    <xdr:clientData/>
  </xdr:twoCellAnchor>
  <xdr:twoCellAnchor editAs="oneCell">
    <xdr:from>
      <xdr:col>10</xdr:col>
      <xdr:colOff>0</xdr:colOff>
      <xdr:row>47</xdr:row>
      <xdr:rowOff>0</xdr:rowOff>
    </xdr:from>
    <xdr:to>
      <xdr:col>10</xdr:col>
      <xdr:colOff>6095520</xdr:colOff>
      <xdr:row>47</xdr:row>
      <xdr:rowOff>4571640</xdr:rowOff>
    </xdr:to>
    <xdr:pic>
      <xdr:nvPicPr>
        <xdr:cNvPr id="45" name="Image 46" descr="Picture"/>
        <xdr:cNvPicPr/>
      </xdr:nvPicPr>
      <xdr:blipFill>
        <a:blip r:embed="rId46"/>
        <a:stretch/>
      </xdr:blipFill>
      <xdr:spPr>
        <a:xfrm>
          <a:off x="25341480" y="206120880"/>
          <a:ext cx="6095520" cy="4571640"/>
        </a:xfrm>
        <a:prstGeom prst="rect">
          <a:avLst/>
        </a:prstGeom>
        <a:ln w="0">
          <a:noFill/>
        </a:ln>
      </xdr:spPr>
    </xdr:pic>
    <xdr:clientData/>
  </xdr:twoCellAnchor>
  <xdr:twoCellAnchor editAs="oneCell">
    <xdr:from>
      <xdr:col>10</xdr:col>
      <xdr:colOff>0</xdr:colOff>
      <xdr:row>48</xdr:row>
      <xdr:rowOff>0</xdr:rowOff>
    </xdr:from>
    <xdr:to>
      <xdr:col>10</xdr:col>
      <xdr:colOff>6095520</xdr:colOff>
      <xdr:row>48</xdr:row>
      <xdr:rowOff>4571640</xdr:rowOff>
    </xdr:to>
    <xdr:pic>
      <xdr:nvPicPr>
        <xdr:cNvPr id="46" name="Image 47" descr="Picture"/>
        <xdr:cNvPicPr/>
      </xdr:nvPicPr>
      <xdr:blipFill>
        <a:blip r:embed="rId47"/>
        <a:stretch/>
      </xdr:blipFill>
      <xdr:spPr>
        <a:xfrm>
          <a:off x="25341480" y="210692880"/>
          <a:ext cx="6095520" cy="4571640"/>
        </a:xfrm>
        <a:prstGeom prst="rect">
          <a:avLst/>
        </a:prstGeom>
        <a:ln w="0">
          <a:noFill/>
        </a:ln>
      </xdr:spPr>
    </xdr:pic>
    <xdr:clientData/>
  </xdr:twoCellAnchor>
  <xdr:twoCellAnchor editAs="oneCell">
    <xdr:from>
      <xdr:col>10</xdr:col>
      <xdr:colOff>0</xdr:colOff>
      <xdr:row>49</xdr:row>
      <xdr:rowOff>0</xdr:rowOff>
    </xdr:from>
    <xdr:to>
      <xdr:col>10</xdr:col>
      <xdr:colOff>6095520</xdr:colOff>
      <xdr:row>49</xdr:row>
      <xdr:rowOff>4571640</xdr:rowOff>
    </xdr:to>
    <xdr:pic>
      <xdr:nvPicPr>
        <xdr:cNvPr id="47" name="Image 48" descr="Picture"/>
        <xdr:cNvPicPr/>
      </xdr:nvPicPr>
      <xdr:blipFill>
        <a:blip r:embed="rId48"/>
        <a:stretch/>
      </xdr:blipFill>
      <xdr:spPr>
        <a:xfrm>
          <a:off x="25341480" y="215264880"/>
          <a:ext cx="6095520" cy="4571640"/>
        </a:xfrm>
        <a:prstGeom prst="rect">
          <a:avLst/>
        </a:prstGeom>
        <a:ln w="0">
          <a:noFill/>
        </a:ln>
      </xdr:spPr>
    </xdr:pic>
    <xdr:clientData/>
  </xdr:twoCellAnchor>
  <xdr:twoCellAnchor editAs="oneCell">
    <xdr:from>
      <xdr:col>10</xdr:col>
      <xdr:colOff>0</xdr:colOff>
      <xdr:row>50</xdr:row>
      <xdr:rowOff>0</xdr:rowOff>
    </xdr:from>
    <xdr:to>
      <xdr:col>10</xdr:col>
      <xdr:colOff>6095520</xdr:colOff>
      <xdr:row>50</xdr:row>
      <xdr:rowOff>4571640</xdr:rowOff>
    </xdr:to>
    <xdr:pic>
      <xdr:nvPicPr>
        <xdr:cNvPr id="48" name="Image 49" descr="Picture"/>
        <xdr:cNvPicPr/>
      </xdr:nvPicPr>
      <xdr:blipFill>
        <a:blip r:embed="rId49"/>
        <a:stretch/>
      </xdr:blipFill>
      <xdr:spPr>
        <a:xfrm>
          <a:off x="25341480" y="219836880"/>
          <a:ext cx="6095520" cy="4571640"/>
        </a:xfrm>
        <a:prstGeom prst="rect">
          <a:avLst/>
        </a:prstGeom>
        <a:ln w="0">
          <a:noFill/>
        </a:ln>
      </xdr:spPr>
    </xdr:pic>
    <xdr:clientData/>
  </xdr:twoCellAnchor>
  <xdr:twoCellAnchor editAs="oneCell">
    <xdr:from>
      <xdr:col>10</xdr:col>
      <xdr:colOff>0</xdr:colOff>
      <xdr:row>51</xdr:row>
      <xdr:rowOff>0</xdr:rowOff>
    </xdr:from>
    <xdr:to>
      <xdr:col>10</xdr:col>
      <xdr:colOff>6095520</xdr:colOff>
      <xdr:row>51</xdr:row>
      <xdr:rowOff>4571640</xdr:rowOff>
    </xdr:to>
    <xdr:pic>
      <xdr:nvPicPr>
        <xdr:cNvPr id="49" name="Image 50" descr="Picture"/>
        <xdr:cNvPicPr/>
      </xdr:nvPicPr>
      <xdr:blipFill>
        <a:blip r:embed="rId50"/>
        <a:stretch/>
      </xdr:blipFill>
      <xdr:spPr>
        <a:xfrm>
          <a:off x="25341480" y="224408880"/>
          <a:ext cx="6095520" cy="4571640"/>
        </a:xfrm>
        <a:prstGeom prst="rect">
          <a:avLst/>
        </a:prstGeom>
        <a:ln w="0">
          <a:noFill/>
        </a:ln>
      </xdr:spPr>
    </xdr:pic>
    <xdr:clientData/>
  </xdr:twoCellAnchor>
  <xdr:twoCellAnchor editAs="oneCell">
    <xdr:from>
      <xdr:col>10</xdr:col>
      <xdr:colOff>0</xdr:colOff>
      <xdr:row>52</xdr:row>
      <xdr:rowOff>0</xdr:rowOff>
    </xdr:from>
    <xdr:to>
      <xdr:col>10</xdr:col>
      <xdr:colOff>6095520</xdr:colOff>
      <xdr:row>52</xdr:row>
      <xdr:rowOff>4571640</xdr:rowOff>
    </xdr:to>
    <xdr:pic>
      <xdr:nvPicPr>
        <xdr:cNvPr id="50" name="Image 51" descr="Picture"/>
        <xdr:cNvPicPr/>
      </xdr:nvPicPr>
      <xdr:blipFill>
        <a:blip r:embed="rId51"/>
        <a:stretch/>
      </xdr:blipFill>
      <xdr:spPr>
        <a:xfrm>
          <a:off x="25341480" y="228980880"/>
          <a:ext cx="6095520" cy="4571640"/>
        </a:xfrm>
        <a:prstGeom prst="rect">
          <a:avLst/>
        </a:prstGeom>
        <a:ln w="0">
          <a:noFill/>
        </a:ln>
      </xdr:spPr>
    </xdr:pic>
    <xdr:clientData/>
  </xdr:twoCellAnchor>
  <xdr:twoCellAnchor editAs="oneCell">
    <xdr:from>
      <xdr:col>10</xdr:col>
      <xdr:colOff>0</xdr:colOff>
      <xdr:row>53</xdr:row>
      <xdr:rowOff>0</xdr:rowOff>
    </xdr:from>
    <xdr:to>
      <xdr:col>10</xdr:col>
      <xdr:colOff>6095520</xdr:colOff>
      <xdr:row>53</xdr:row>
      <xdr:rowOff>4571640</xdr:rowOff>
    </xdr:to>
    <xdr:pic>
      <xdr:nvPicPr>
        <xdr:cNvPr id="51" name="Image 52" descr="Picture"/>
        <xdr:cNvPicPr/>
      </xdr:nvPicPr>
      <xdr:blipFill>
        <a:blip r:embed="rId52"/>
        <a:stretch/>
      </xdr:blipFill>
      <xdr:spPr>
        <a:xfrm>
          <a:off x="25341480" y="233552880"/>
          <a:ext cx="6095520" cy="4571640"/>
        </a:xfrm>
        <a:prstGeom prst="rect">
          <a:avLst/>
        </a:prstGeom>
        <a:ln w="0">
          <a:noFill/>
        </a:ln>
      </xdr:spPr>
    </xdr:pic>
    <xdr:clientData/>
  </xdr:twoCellAnchor>
  <xdr:twoCellAnchor editAs="oneCell">
    <xdr:from>
      <xdr:col>10</xdr:col>
      <xdr:colOff>0</xdr:colOff>
      <xdr:row>54</xdr:row>
      <xdr:rowOff>0</xdr:rowOff>
    </xdr:from>
    <xdr:to>
      <xdr:col>10</xdr:col>
      <xdr:colOff>6095520</xdr:colOff>
      <xdr:row>54</xdr:row>
      <xdr:rowOff>4571640</xdr:rowOff>
    </xdr:to>
    <xdr:pic>
      <xdr:nvPicPr>
        <xdr:cNvPr id="52" name="Image 53" descr="Picture"/>
        <xdr:cNvPicPr/>
      </xdr:nvPicPr>
      <xdr:blipFill>
        <a:blip r:embed="rId53"/>
        <a:stretch/>
      </xdr:blipFill>
      <xdr:spPr>
        <a:xfrm>
          <a:off x="25341480" y="238124880"/>
          <a:ext cx="6095520" cy="4571640"/>
        </a:xfrm>
        <a:prstGeom prst="rect">
          <a:avLst/>
        </a:prstGeom>
        <a:ln w="0">
          <a:noFill/>
        </a:ln>
      </xdr:spPr>
    </xdr:pic>
    <xdr:clientData/>
  </xdr:twoCellAnchor>
  <xdr:twoCellAnchor editAs="oneCell">
    <xdr:from>
      <xdr:col>10</xdr:col>
      <xdr:colOff>0</xdr:colOff>
      <xdr:row>55</xdr:row>
      <xdr:rowOff>0</xdr:rowOff>
    </xdr:from>
    <xdr:to>
      <xdr:col>10</xdr:col>
      <xdr:colOff>6095520</xdr:colOff>
      <xdr:row>55</xdr:row>
      <xdr:rowOff>4571640</xdr:rowOff>
    </xdr:to>
    <xdr:pic>
      <xdr:nvPicPr>
        <xdr:cNvPr id="53" name="Image 54" descr="Picture"/>
        <xdr:cNvPicPr/>
      </xdr:nvPicPr>
      <xdr:blipFill>
        <a:blip r:embed="rId54"/>
        <a:stretch/>
      </xdr:blipFill>
      <xdr:spPr>
        <a:xfrm>
          <a:off x="25341480" y="242696880"/>
          <a:ext cx="6095520" cy="4571640"/>
        </a:xfrm>
        <a:prstGeom prst="rect">
          <a:avLst/>
        </a:prstGeom>
        <a:ln w="0">
          <a:noFill/>
        </a:ln>
      </xdr:spPr>
    </xdr:pic>
    <xdr:clientData/>
  </xdr:twoCellAnchor>
  <xdr:twoCellAnchor editAs="oneCell">
    <xdr:from>
      <xdr:col>10</xdr:col>
      <xdr:colOff>0</xdr:colOff>
      <xdr:row>56</xdr:row>
      <xdr:rowOff>0</xdr:rowOff>
    </xdr:from>
    <xdr:to>
      <xdr:col>10</xdr:col>
      <xdr:colOff>6095520</xdr:colOff>
      <xdr:row>56</xdr:row>
      <xdr:rowOff>4571640</xdr:rowOff>
    </xdr:to>
    <xdr:pic>
      <xdr:nvPicPr>
        <xdr:cNvPr id="54" name="Image 55" descr="Picture"/>
        <xdr:cNvPicPr/>
      </xdr:nvPicPr>
      <xdr:blipFill>
        <a:blip r:embed="rId55"/>
        <a:stretch/>
      </xdr:blipFill>
      <xdr:spPr>
        <a:xfrm>
          <a:off x="25341480" y="247268880"/>
          <a:ext cx="6095520" cy="4571640"/>
        </a:xfrm>
        <a:prstGeom prst="rect">
          <a:avLst/>
        </a:prstGeom>
        <a:ln w="0">
          <a:noFill/>
        </a:ln>
      </xdr:spPr>
    </xdr:pic>
    <xdr:clientData/>
  </xdr:twoCellAnchor>
  <xdr:twoCellAnchor editAs="oneCell">
    <xdr:from>
      <xdr:col>10</xdr:col>
      <xdr:colOff>0</xdr:colOff>
      <xdr:row>57</xdr:row>
      <xdr:rowOff>0</xdr:rowOff>
    </xdr:from>
    <xdr:to>
      <xdr:col>10</xdr:col>
      <xdr:colOff>6095520</xdr:colOff>
      <xdr:row>57</xdr:row>
      <xdr:rowOff>4571640</xdr:rowOff>
    </xdr:to>
    <xdr:pic>
      <xdr:nvPicPr>
        <xdr:cNvPr id="55" name="Image 56" descr="Picture"/>
        <xdr:cNvPicPr/>
      </xdr:nvPicPr>
      <xdr:blipFill>
        <a:blip r:embed="rId56"/>
        <a:stretch/>
      </xdr:blipFill>
      <xdr:spPr>
        <a:xfrm>
          <a:off x="25341480" y="251840880"/>
          <a:ext cx="6095520" cy="4571640"/>
        </a:xfrm>
        <a:prstGeom prst="rect">
          <a:avLst/>
        </a:prstGeom>
        <a:ln w="0">
          <a:noFill/>
        </a:ln>
      </xdr:spPr>
    </xdr:pic>
    <xdr:clientData/>
  </xdr:twoCellAnchor>
  <xdr:twoCellAnchor editAs="oneCell">
    <xdr:from>
      <xdr:col>10</xdr:col>
      <xdr:colOff>0</xdr:colOff>
      <xdr:row>58</xdr:row>
      <xdr:rowOff>0</xdr:rowOff>
    </xdr:from>
    <xdr:to>
      <xdr:col>10</xdr:col>
      <xdr:colOff>6095520</xdr:colOff>
      <xdr:row>58</xdr:row>
      <xdr:rowOff>4571640</xdr:rowOff>
    </xdr:to>
    <xdr:pic>
      <xdr:nvPicPr>
        <xdr:cNvPr id="56" name="Image 57" descr="Picture"/>
        <xdr:cNvPicPr/>
      </xdr:nvPicPr>
      <xdr:blipFill>
        <a:blip r:embed="rId57"/>
        <a:stretch/>
      </xdr:blipFill>
      <xdr:spPr>
        <a:xfrm>
          <a:off x="25341480" y="256412880"/>
          <a:ext cx="6095520" cy="4571640"/>
        </a:xfrm>
        <a:prstGeom prst="rect">
          <a:avLst/>
        </a:prstGeom>
        <a:ln w="0">
          <a:noFill/>
        </a:ln>
      </xdr:spPr>
    </xdr:pic>
    <xdr:clientData/>
  </xdr:twoCellAnchor>
  <xdr:twoCellAnchor editAs="oneCell">
    <xdr:from>
      <xdr:col>10</xdr:col>
      <xdr:colOff>0</xdr:colOff>
      <xdr:row>59</xdr:row>
      <xdr:rowOff>0</xdr:rowOff>
    </xdr:from>
    <xdr:to>
      <xdr:col>10</xdr:col>
      <xdr:colOff>6095520</xdr:colOff>
      <xdr:row>59</xdr:row>
      <xdr:rowOff>4571640</xdr:rowOff>
    </xdr:to>
    <xdr:pic>
      <xdr:nvPicPr>
        <xdr:cNvPr id="57" name="Image 58" descr="Picture"/>
        <xdr:cNvPicPr/>
      </xdr:nvPicPr>
      <xdr:blipFill>
        <a:blip r:embed="rId58"/>
        <a:stretch/>
      </xdr:blipFill>
      <xdr:spPr>
        <a:xfrm>
          <a:off x="25341480" y="260984880"/>
          <a:ext cx="6095520" cy="4571640"/>
        </a:xfrm>
        <a:prstGeom prst="rect">
          <a:avLst/>
        </a:prstGeom>
        <a:ln w="0">
          <a:noFill/>
        </a:ln>
      </xdr:spPr>
    </xdr:pic>
    <xdr:clientData/>
  </xdr:twoCellAnchor>
  <xdr:twoCellAnchor editAs="oneCell">
    <xdr:from>
      <xdr:col>10</xdr:col>
      <xdr:colOff>0</xdr:colOff>
      <xdr:row>60</xdr:row>
      <xdr:rowOff>0</xdr:rowOff>
    </xdr:from>
    <xdr:to>
      <xdr:col>10</xdr:col>
      <xdr:colOff>6095520</xdr:colOff>
      <xdr:row>60</xdr:row>
      <xdr:rowOff>4571640</xdr:rowOff>
    </xdr:to>
    <xdr:pic>
      <xdr:nvPicPr>
        <xdr:cNvPr id="58" name="Image 59" descr="Picture"/>
        <xdr:cNvPicPr/>
      </xdr:nvPicPr>
      <xdr:blipFill>
        <a:blip r:embed="rId59"/>
        <a:stretch/>
      </xdr:blipFill>
      <xdr:spPr>
        <a:xfrm>
          <a:off x="25341480" y="265556880"/>
          <a:ext cx="6095520" cy="4571640"/>
        </a:xfrm>
        <a:prstGeom prst="rect">
          <a:avLst/>
        </a:prstGeom>
        <a:ln w="0">
          <a:noFill/>
        </a:ln>
      </xdr:spPr>
    </xdr:pic>
    <xdr:clientData/>
  </xdr:twoCellAnchor>
  <xdr:twoCellAnchor editAs="oneCell">
    <xdr:from>
      <xdr:col>10</xdr:col>
      <xdr:colOff>0</xdr:colOff>
      <xdr:row>61</xdr:row>
      <xdr:rowOff>0</xdr:rowOff>
    </xdr:from>
    <xdr:to>
      <xdr:col>10</xdr:col>
      <xdr:colOff>6095520</xdr:colOff>
      <xdr:row>61</xdr:row>
      <xdr:rowOff>4571640</xdr:rowOff>
    </xdr:to>
    <xdr:pic>
      <xdr:nvPicPr>
        <xdr:cNvPr id="59" name="Image 60" descr="Picture"/>
        <xdr:cNvPicPr/>
      </xdr:nvPicPr>
      <xdr:blipFill>
        <a:blip r:embed="rId60"/>
        <a:stretch/>
      </xdr:blipFill>
      <xdr:spPr>
        <a:xfrm>
          <a:off x="25341480" y="270128880"/>
          <a:ext cx="6095520" cy="4571640"/>
        </a:xfrm>
        <a:prstGeom prst="rect">
          <a:avLst/>
        </a:prstGeom>
        <a:ln w="0">
          <a:noFill/>
        </a:ln>
      </xdr:spPr>
    </xdr:pic>
    <xdr:clientData/>
  </xdr:twoCellAnchor>
  <xdr:twoCellAnchor editAs="oneCell">
    <xdr:from>
      <xdr:col>10</xdr:col>
      <xdr:colOff>0</xdr:colOff>
      <xdr:row>62</xdr:row>
      <xdr:rowOff>0</xdr:rowOff>
    </xdr:from>
    <xdr:to>
      <xdr:col>10</xdr:col>
      <xdr:colOff>6095520</xdr:colOff>
      <xdr:row>62</xdr:row>
      <xdr:rowOff>4571640</xdr:rowOff>
    </xdr:to>
    <xdr:pic>
      <xdr:nvPicPr>
        <xdr:cNvPr id="60" name="Image 61" descr="Picture"/>
        <xdr:cNvPicPr/>
      </xdr:nvPicPr>
      <xdr:blipFill>
        <a:blip r:embed="rId61"/>
        <a:stretch/>
      </xdr:blipFill>
      <xdr:spPr>
        <a:xfrm>
          <a:off x="25341480" y="274700880"/>
          <a:ext cx="6095520" cy="4571640"/>
        </a:xfrm>
        <a:prstGeom prst="rect">
          <a:avLst/>
        </a:prstGeom>
        <a:ln w="0">
          <a:noFill/>
        </a:ln>
      </xdr:spPr>
    </xdr:pic>
    <xdr:clientData/>
  </xdr:twoCellAnchor>
  <xdr:twoCellAnchor editAs="oneCell">
    <xdr:from>
      <xdr:col>10</xdr:col>
      <xdr:colOff>0</xdr:colOff>
      <xdr:row>63</xdr:row>
      <xdr:rowOff>0</xdr:rowOff>
    </xdr:from>
    <xdr:to>
      <xdr:col>10</xdr:col>
      <xdr:colOff>6095520</xdr:colOff>
      <xdr:row>63</xdr:row>
      <xdr:rowOff>4571640</xdr:rowOff>
    </xdr:to>
    <xdr:pic>
      <xdr:nvPicPr>
        <xdr:cNvPr id="61" name="Image 62" descr="Picture"/>
        <xdr:cNvPicPr/>
      </xdr:nvPicPr>
      <xdr:blipFill>
        <a:blip r:embed="rId62"/>
        <a:stretch/>
      </xdr:blipFill>
      <xdr:spPr>
        <a:xfrm>
          <a:off x="25341480" y="279272880"/>
          <a:ext cx="6095520" cy="4571640"/>
        </a:xfrm>
        <a:prstGeom prst="rect">
          <a:avLst/>
        </a:prstGeom>
        <a:ln w="0">
          <a:noFill/>
        </a:ln>
      </xdr:spPr>
    </xdr:pic>
    <xdr:clientData/>
  </xdr:twoCellAnchor>
  <xdr:twoCellAnchor editAs="oneCell">
    <xdr:from>
      <xdr:col>10</xdr:col>
      <xdr:colOff>0</xdr:colOff>
      <xdr:row>64</xdr:row>
      <xdr:rowOff>0</xdr:rowOff>
    </xdr:from>
    <xdr:to>
      <xdr:col>10</xdr:col>
      <xdr:colOff>6095520</xdr:colOff>
      <xdr:row>64</xdr:row>
      <xdr:rowOff>4571640</xdr:rowOff>
    </xdr:to>
    <xdr:pic>
      <xdr:nvPicPr>
        <xdr:cNvPr id="62" name="Image 63" descr="Picture"/>
        <xdr:cNvPicPr/>
      </xdr:nvPicPr>
      <xdr:blipFill>
        <a:blip r:embed="rId63"/>
        <a:stretch/>
      </xdr:blipFill>
      <xdr:spPr>
        <a:xfrm>
          <a:off x="25341480" y="283844880"/>
          <a:ext cx="6095520" cy="4571640"/>
        </a:xfrm>
        <a:prstGeom prst="rect">
          <a:avLst/>
        </a:prstGeom>
        <a:ln w="0">
          <a:noFill/>
        </a:ln>
      </xdr:spPr>
    </xdr:pic>
    <xdr:clientData/>
  </xdr:twoCellAnchor>
  <xdr:twoCellAnchor editAs="oneCell">
    <xdr:from>
      <xdr:col>10</xdr:col>
      <xdr:colOff>0</xdr:colOff>
      <xdr:row>65</xdr:row>
      <xdr:rowOff>0</xdr:rowOff>
    </xdr:from>
    <xdr:to>
      <xdr:col>10</xdr:col>
      <xdr:colOff>6095520</xdr:colOff>
      <xdr:row>65</xdr:row>
      <xdr:rowOff>4571640</xdr:rowOff>
    </xdr:to>
    <xdr:pic>
      <xdr:nvPicPr>
        <xdr:cNvPr id="63" name="Image 64" descr="Picture"/>
        <xdr:cNvPicPr/>
      </xdr:nvPicPr>
      <xdr:blipFill>
        <a:blip r:embed="rId64"/>
        <a:stretch/>
      </xdr:blipFill>
      <xdr:spPr>
        <a:xfrm>
          <a:off x="25341480" y="288416880"/>
          <a:ext cx="6095520" cy="4571640"/>
        </a:xfrm>
        <a:prstGeom prst="rect">
          <a:avLst/>
        </a:prstGeom>
        <a:ln w="0">
          <a:noFill/>
        </a:ln>
      </xdr:spPr>
    </xdr:pic>
    <xdr:clientData/>
  </xdr:twoCellAnchor>
  <xdr:twoCellAnchor editAs="oneCell">
    <xdr:from>
      <xdr:col>10</xdr:col>
      <xdr:colOff>0</xdr:colOff>
      <xdr:row>66</xdr:row>
      <xdr:rowOff>0</xdr:rowOff>
    </xdr:from>
    <xdr:to>
      <xdr:col>10</xdr:col>
      <xdr:colOff>6095520</xdr:colOff>
      <xdr:row>66</xdr:row>
      <xdr:rowOff>4571640</xdr:rowOff>
    </xdr:to>
    <xdr:pic>
      <xdr:nvPicPr>
        <xdr:cNvPr id="64" name="Image 65" descr="Picture"/>
        <xdr:cNvPicPr/>
      </xdr:nvPicPr>
      <xdr:blipFill>
        <a:blip r:embed="rId65"/>
        <a:stretch/>
      </xdr:blipFill>
      <xdr:spPr>
        <a:xfrm>
          <a:off x="25341480" y="292988880"/>
          <a:ext cx="6095520" cy="4571640"/>
        </a:xfrm>
        <a:prstGeom prst="rect">
          <a:avLst/>
        </a:prstGeom>
        <a:ln w="0">
          <a:noFill/>
        </a:ln>
      </xdr:spPr>
    </xdr:pic>
    <xdr:clientData/>
  </xdr:twoCellAnchor>
  <xdr:twoCellAnchor editAs="oneCell">
    <xdr:from>
      <xdr:col>10</xdr:col>
      <xdr:colOff>0</xdr:colOff>
      <xdr:row>67</xdr:row>
      <xdr:rowOff>0</xdr:rowOff>
    </xdr:from>
    <xdr:to>
      <xdr:col>10</xdr:col>
      <xdr:colOff>6095520</xdr:colOff>
      <xdr:row>67</xdr:row>
      <xdr:rowOff>4571640</xdr:rowOff>
    </xdr:to>
    <xdr:pic>
      <xdr:nvPicPr>
        <xdr:cNvPr id="65" name="Image 66" descr="Picture"/>
        <xdr:cNvPicPr/>
      </xdr:nvPicPr>
      <xdr:blipFill>
        <a:blip r:embed="rId66"/>
        <a:stretch/>
      </xdr:blipFill>
      <xdr:spPr>
        <a:xfrm>
          <a:off x="25341480" y="297560880"/>
          <a:ext cx="6095520" cy="4571640"/>
        </a:xfrm>
        <a:prstGeom prst="rect">
          <a:avLst/>
        </a:prstGeom>
        <a:ln w="0">
          <a:noFill/>
        </a:ln>
      </xdr:spPr>
    </xdr:pic>
    <xdr:clientData/>
  </xdr:twoCellAnchor>
  <xdr:twoCellAnchor editAs="oneCell">
    <xdr:from>
      <xdr:col>10</xdr:col>
      <xdr:colOff>0</xdr:colOff>
      <xdr:row>68</xdr:row>
      <xdr:rowOff>0</xdr:rowOff>
    </xdr:from>
    <xdr:to>
      <xdr:col>10</xdr:col>
      <xdr:colOff>6095520</xdr:colOff>
      <xdr:row>68</xdr:row>
      <xdr:rowOff>4571640</xdr:rowOff>
    </xdr:to>
    <xdr:pic>
      <xdr:nvPicPr>
        <xdr:cNvPr id="66" name="Image 67" descr="Picture"/>
        <xdr:cNvPicPr/>
      </xdr:nvPicPr>
      <xdr:blipFill>
        <a:blip r:embed="rId67"/>
        <a:stretch/>
      </xdr:blipFill>
      <xdr:spPr>
        <a:xfrm>
          <a:off x="25341480" y="302132880"/>
          <a:ext cx="6095520" cy="4571640"/>
        </a:xfrm>
        <a:prstGeom prst="rect">
          <a:avLst/>
        </a:prstGeom>
        <a:ln w="0">
          <a:noFill/>
        </a:ln>
      </xdr:spPr>
    </xdr:pic>
    <xdr:clientData/>
  </xdr:twoCellAnchor>
  <xdr:twoCellAnchor editAs="oneCell">
    <xdr:from>
      <xdr:col>10</xdr:col>
      <xdr:colOff>0</xdr:colOff>
      <xdr:row>69</xdr:row>
      <xdr:rowOff>0</xdr:rowOff>
    </xdr:from>
    <xdr:to>
      <xdr:col>10</xdr:col>
      <xdr:colOff>6095520</xdr:colOff>
      <xdr:row>69</xdr:row>
      <xdr:rowOff>4571640</xdr:rowOff>
    </xdr:to>
    <xdr:pic>
      <xdr:nvPicPr>
        <xdr:cNvPr id="67" name="Image 68" descr="Picture"/>
        <xdr:cNvPicPr/>
      </xdr:nvPicPr>
      <xdr:blipFill>
        <a:blip r:embed="rId68"/>
        <a:stretch/>
      </xdr:blipFill>
      <xdr:spPr>
        <a:xfrm>
          <a:off x="25341480" y="306704880"/>
          <a:ext cx="6095520" cy="4571640"/>
        </a:xfrm>
        <a:prstGeom prst="rect">
          <a:avLst/>
        </a:prstGeom>
        <a:ln w="0">
          <a:noFill/>
        </a:ln>
      </xdr:spPr>
    </xdr:pic>
    <xdr:clientData/>
  </xdr:twoCellAnchor>
  <xdr:twoCellAnchor editAs="oneCell">
    <xdr:from>
      <xdr:col>10</xdr:col>
      <xdr:colOff>0</xdr:colOff>
      <xdr:row>70</xdr:row>
      <xdr:rowOff>0</xdr:rowOff>
    </xdr:from>
    <xdr:to>
      <xdr:col>10</xdr:col>
      <xdr:colOff>6095520</xdr:colOff>
      <xdr:row>70</xdr:row>
      <xdr:rowOff>4571640</xdr:rowOff>
    </xdr:to>
    <xdr:pic>
      <xdr:nvPicPr>
        <xdr:cNvPr id="68" name="Image 69" descr="Picture"/>
        <xdr:cNvPicPr/>
      </xdr:nvPicPr>
      <xdr:blipFill>
        <a:blip r:embed="rId69"/>
        <a:stretch/>
      </xdr:blipFill>
      <xdr:spPr>
        <a:xfrm>
          <a:off x="25341480" y="311276880"/>
          <a:ext cx="6095520" cy="4571640"/>
        </a:xfrm>
        <a:prstGeom prst="rect">
          <a:avLst/>
        </a:prstGeom>
        <a:ln w="0">
          <a:noFill/>
        </a:ln>
      </xdr:spPr>
    </xdr:pic>
    <xdr:clientData/>
  </xdr:twoCellAnchor>
  <xdr:twoCellAnchor editAs="oneCell">
    <xdr:from>
      <xdr:col>10</xdr:col>
      <xdr:colOff>0</xdr:colOff>
      <xdr:row>71</xdr:row>
      <xdr:rowOff>0</xdr:rowOff>
    </xdr:from>
    <xdr:to>
      <xdr:col>10</xdr:col>
      <xdr:colOff>6095520</xdr:colOff>
      <xdr:row>71</xdr:row>
      <xdr:rowOff>4571640</xdr:rowOff>
    </xdr:to>
    <xdr:pic>
      <xdr:nvPicPr>
        <xdr:cNvPr id="69" name="Image 70" descr="Picture"/>
        <xdr:cNvPicPr/>
      </xdr:nvPicPr>
      <xdr:blipFill>
        <a:blip r:embed="rId70"/>
        <a:stretch/>
      </xdr:blipFill>
      <xdr:spPr>
        <a:xfrm>
          <a:off x="25341480" y="315848880"/>
          <a:ext cx="6095520" cy="4571640"/>
        </a:xfrm>
        <a:prstGeom prst="rect">
          <a:avLst/>
        </a:prstGeom>
        <a:ln w="0">
          <a:noFill/>
        </a:ln>
      </xdr:spPr>
    </xdr:pic>
    <xdr:clientData/>
  </xdr:twoCellAnchor>
  <xdr:twoCellAnchor editAs="oneCell">
    <xdr:from>
      <xdr:col>0</xdr:col>
      <xdr:colOff>0</xdr:colOff>
      <xdr:row>72</xdr:row>
      <xdr:rowOff>0</xdr:rowOff>
    </xdr:from>
    <xdr:to>
      <xdr:col>1</xdr:col>
      <xdr:colOff>327960</xdr:colOff>
      <xdr:row>95</xdr:row>
      <xdr:rowOff>190080</xdr:rowOff>
    </xdr:to>
    <xdr:pic>
      <xdr:nvPicPr>
        <xdr:cNvPr id="70" name="Image 71" descr="Picture"/>
        <xdr:cNvPicPr/>
      </xdr:nvPicPr>
      <xdr:blipFill>
        <a:blip r:embed="rId71"/>
        <a:stretch/>
      </xdr:blipFill>
      <xdr:spPr>
        <a:xfrm>
          <a:off x="0" y="320420880"/>
          <a:ext cx="6095520" cy="4571640"/>
        </a:xfrm>
        <a:prstGeom prst="rect">
          <a:avLst/>
        </a:prstGeom>
        <a:ln w="0">
          <a:noFill/>
        </a:ln>
      </xdr:spPr>
    </xdr:pic>
    <xdr:clientData/>
  </xdr:twoCellAnchor>
</xdr:wsDr>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72"/>
  <sheetViews>
    <sheetView showFormulas="false" showGridLines="true" showRowColHeaders="true" showZeros="true" rightToLeft="false" tabSelected="true" showOutlineSymbols="true" defaultGridColor="true" view="normal" topLeftCell="H1" colorId="64" zoomScale="100" zoomScaleNormal="100" zoomScalePageLayoutView="100" workbookViewId="0">
      <selection pane="topLeft" activeCell="L1" activeCellId="0" sqref="L1"/>
    </sheetView>
  </sheetViews>
  <sheetFormatPr defaultColWidth="11.53515625" defaultRowHeight="15" zeroHeight="false" outlineLevelRow="0" outlineLevelCol="0"/>
  <cols>
    <col collapsed="false" customWidth="true" hidden="false" outlineLevel="0" max="1" min="1" style="0" width="81.74"/>
    <col collapsed="false" customWidth="true" hidden="false" outlineLevel="0" max="2" min="2" style="0" width="7.26"/>
    <col collapsed="false" customWidth="true" hidden="false" outlineLevel="0" max="3" min="3" style="0" width="18.52"/>
    <col collapsed="false" customWidth="true" hidden="false" outlineLevel="0" max="4" min="4" style="0" width="86.73"/>
    <col collapsed="false" customWidth="true" hidden="false" outlineLevel="0" max="5" min="5" style="0" width="19.91"/>
    <col collapsed="false" customWidth="true" hidden="false" outlineLevel="0" max="6" min="6" style="0" width="36.17"/>
    <col collapsed="false" customWidth="true" hidden="false" outlineLevel="0" max="7" min="7" style="0" width="19.91"/>
    <col collapsed="false" customWidth="true" hidden="false" outlineLevel="0" max="8" min="8" style="0" width="33.39"/>
    <col collapsed="false" customWidth="true" hidden="false" outlineLevel="0" max="9" min="9" style="0" width="19.91"/>
    <col collapsed="false" customWidth="true" hidden="false" outlineLevel="0" max="10" min="10" style="0" width="35.61"/>
    <col collapsed="false" customWidth="true" hidden="false" outlineLevel="0" max="11" min="11" style="0" width="86.69"/>
    <col collapsed="false" customWidth="true" hidden="false" outlineLevel="0" max="12" min="12" style="0" width="28.34"/>
  </cols>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c r="L1" s="0" t="s">
        <v>11</v>
      </c>
    </row>
    <row r="2" customFormat="false" ht="15" hidden="false" customHeight="false" outlineLevel="0" collapsed="false">
      <c r="A2" s="0" t="s">
        <v>12</v>
      </c>
      <c r="D2" s="0" t="n">
        <v>0.627416520210896</v>
      </c>
      <c r="E2" s="0" t="n">
        <v>0</v>
      </c>
      <c r="F2" s="0" t="n">
        <v>1</v>
      </c>
      <c r="G2" s="0" t="n">
        <v>0</v>
      </c>
      <c r="H2" s="0" t="n">
        <v>0.771058315334773</v>
      </c>
      <c r="I2" s="0" t="n">
        <v>0</v>
      </c>
    </row>
    <row r="3" customFormat="false" ht="360" hidden="false" customHeight="true" outlineLevel="0" collapsed="false">
      <c r="A3" s="1" t="s">
        <v>13</v>
      </c>
      <c r="B3" s="2" t="b">
        <f aca="false">TRUE()</f>
        <v>1</v>
      </c>
      <c r="C3" s="0" t="n">
        <v>30</v>
      </c>
      <c r="D3" s="0" t="s">
        <v>14</v>
      </c>
      <c r="E3" s="0" t="n">
        <v>0.981481481481482</v>
      </c>
      <c r="F3" s="0" t="n">
        <v>56.4322025106339</v>
      </c>
      <c r="G3" s="0" t="n">
        <v>0.990654205607477</v>
      </c>
      <c r="H3" s="0" t="n">
        <v>-0.934579439252332</v>
      </c>
      <c r="I3" s="0" t="n">
        <v>0.986046511627907</v>
      </c>
      <c r="J3" s="0" t="n">
        <v>27.8822226565045</v>
      </c>
      <c r="L3" s="3" t="s">
        <v>15</v>
      </c>
    </row>
    <row r="4" customFormat="false" ht="360" hidden="false" customHeight="true" outlineLevel="0" collapsed="false">
      <c r="A4" s="1" t="s">
        <v>13</v>
      </c>
      <c r="B4" s="2" t="b">
        <f aca="false">FALSE()</f>
        <v>0</v>
      </c>
      <c r="C4" s="0" t="n">
        <v>30</v>
      </c>
      <c r="D4" s="0" t="s">
        <v>16</v>
      </c>
      <c r="E4" s="0" t="n">
        <v>0.935185185185185</v>
      </c>
      <c r="F4" s="0" t="n">
        <v>49.0533250337172</v>
      </c>
      <c r="G4" s="0" t="n">
        <v>0.94392523364486</v>
      </c>
      <c r="H4" s="0" t="n">
        <v>-5.60747663551402</v>
      </c>
      <c r="I4" s="0" t="n">
        <v>0.93953488372093</v>
      </c>
      <c r="J4" s="0" t="n">
        <v>21.8500423425184</v>
      </c>
      <c r="L4" s="3" t="s">
        <v>17</v>
      </c>
    </row>
    <row r="5" customFormat="false" ht="360" hidden="false" customHeight="true" outlineLevel="0" collapsed="false">
      <c r="A5" s="1" t="s">
        <v>18</v>
      </c>
      <c r="B5" s="2" t="b">
        <f aca="false">TRUE()</f>
        <v>1</v>
      </c>
      <c r="C5" s="0" t="n">
        <v>30</v>
      </c>
      <c r="D5" s="0" t="s">
        <v>19</v>
      </c>
      <c r="E5" s="0" t="n">
        <v>0.972727272727273</v>
      </c>
      <c r="F5" s="0" t="n">
        <v>55.0369238604533</v>
      </c>
      <c r="G5" s="0" t="n">
        <v>1</v>
      </c>
      <c r="H5" s="0" t="n">
        <v>0</v>
      </c>
      <c r="I5" s="0" t="n">
        <v>0.986175115207373</v>
      </c>
      <c r="J5" s="0" t="n">
        <v>27.8989014960823</v>
      </c>
      <c r="L5" s="4" t="s">
        <v>20</v>
      </c>
    </row>
    <row r="6" customFormat="false" ht="360" hidden="false" customHeight="true" outlineLevel="0" collapsed="false">
      <c r="A6" s="1" t="s">
        <v>18</v>
      </c>
      <c r="B6" s="2" t="b">
        <f aca="false">FALSE()</f>
        <v>0</v>
      </c>
      <c r="C6" s="0" t="n">
        <v>30</v>
      </c>
      <c r="D6" s="0" t="s">
        <v>21</v>
      </c>
      <c r="E6" s="0" t="n">
        <v>0.945454545454545</v>
      </c>
      <c r="F6" s="0" t="n">
        <v>50.690094219506</v>
      </c>
      <c r="G6" s="0" t="n">
        <v>0.97196261682243</v>
      </c>
      <c r="H6" s="0" t="n">
        <v>-2.80373831775701</v>
      </c>
      <c r="I6" s="0" t="n">
        <v>0.95852534562212</v>
      </c>
      <c r="J6" s="0" t="n">
        <v>24.3129509868463</v>
      </c>
    </row>
    <row r="7" customFormat="false" ht="360" hidden="false" customHeight="true" outlineLevel="0" collapsed="false">
      <c r="A7" s="1" t="s">
        <v>22</v>
      </c>
      <c r="B7" s="2" t="b">
        <f aca="false">TRUE()</f>
        <v>1</v>
      </c>
      <c r="C7" s="0" t="n">
        <v>30</v>
      </c>
      <c r="D7" s="0" t="s">
        <v>23</v>
      </c>
      <c r="E7" s="0" t="n">
        <v>0.963636363636364</v>
      </c>
      <c r="F7" s="0" t="n">
        <v>53.5879806468042</v>
      </c>
      <c r="G7" s="0" t="n">
        <v>0.990654205607477</v>
      </c>
      <c r="H7" s="0" t="n">
        <v>-0.934579439252332</v>
      </c>
      <c r="I7" s="0" t="n">
        <v>0.976958525345622</v>
      </c>
      <c r="J7" s="0" t="n">
        <v>26.7035846596703</v>
      </c>
    </row>
    <row r="8" customFormat="false" ht="360" hidden="false" customHeight="true" outlineLevel="0" collapsed="false">
      <c r="A8" s="1" t="s">
        <v>22</v>
      </c>
      <c r="B8" s="2" t="b">
        <f aca="false">FALSE()</f>
        <v>0</v>
      </c>
      <c r="C8" s="0" t="n">
        <v>30</v>
      </c>
      <c r="D8" s="0" t="s">
        <v>24</v>
      </c>
      <c r="E8" s="0" t="n">
        <v>0.945454545454545</v>
      </c>
      <c r="F8" s="0" t="n">
        <v>50.690094219506</v>
      </c>
      <c r="G8" s="0" t="n">
        <v>0.97196261682243</v>
      </c>
      <c r="H8" s="0" t="n">
        <v>-2.80373831775701</v>
      </c>
      <c r="I8" s="0" t="n">
        <v>0.95852534562212</v>
      </c>
      <c r="J8" s="0" t="n">
        <v>24.3129509868463</v>
      </c>
    </row>
    <row r="9" customFormat="false" ht="360" hidden="false" customHeight="true" outlineLevel="0" collapsed="false">
      <c r="A9" s="1" t="s">
        <v>25</v>
      </c>
      <c r="B9" s="2" t="b">
        <f aca="false">TRUE()</f>
        <v>1</v>
      </c>
      <c r="C9" s="0" t="n">
        <v>30</v>
      </c>
      <c r="D9" s="0" t="s">
        <v>26</v>
      </c>
      <c r="E9" s="0" t="n">
        <v>0.920353982300885</v>
      </c>
      <c r="F9" s="0" t="n">
        <v>46.6894722490766</v>
      </c>
      <c r="G9" s="0" t="n">
        <v>0.97196261682243</v>
      </c>
      <c r="H9" s="0" t="n">
        <v>-2.80373831775701</v>
      </c>
      <c r="I9" s="0" t="n">
        <v>0.945454545454545</v>
      </c>
      <c r="J9" s="0" t="n">
        <v>22.6177743824803</v>
      </c>
    </row>
    <row r="10" customFormat="false" ht="360" hidden="false" customHeight="true" outlineLevel="0" collapsed="false">
      <c r="A10" s="1" t="s">
        <v>25</v>
      </c>
      <c r="B10" s="2" t="b">
        <f aca="false">FALSE()</f>
        <v>0</v>
      </c>
      <c r="C10" s="0" t="n">
        <v>30</v>
      </c>
      <c r="D10" s="0" t="s">
        <v>27</v>
      </c>
      <c r="E10" s="0" t="n">
        <v>0.903508771929825</v>
      </c>
      <c r="F10" s="0" t="n">
        <v>44.0046193916163</v>
      </c>
      <c r="G10" s="0" t="n">
        <v>0.962616822429906</v>
      </c>
      <c r="H10" s="0" t="n">
        <v>-3.73831775700934</v>
      </c>
      <c r="I10" s="0" t="n">
        <v>0.932126696832579</v>
      </c>
      <c r="J10" s="0" t="n">
        <v>20.8892606816482</v>
      </c>
    </row>
    <row r="11" customFormat="false" ht="360" hidden="false" customHeight="true" outlineLevel="0" collapsed="false">
      <c r="A11" s="1" t="s">
        <v>28</v>
      </c>
      <c r="B11" s="2" t="b">
        <f aca="false">TRUE()</f>
        <v>1</v>
      </c>
      <c r="C11" s="0" t="n">
        <v>30</v>
      </c>
      <c r="D11" s="0" t="s">
        <v>29</v>
      </c>
      <c r="E11" s="0" t="n">
        <v>0.963636363636364</v>
      </c>
      <c r="F11" s="0" t="n">
        <v>53.5879806468042</v>
      </c>
      <c r="G11" s="0" t="n">
        <v>0.990654205607477</v>
      </c>
      <c r="H11" s="0" t="n">
        <v>-0.934579439252332</v>
      </c>
      <c r="I11" s="0" t="n">
        <v>0.976958525345622</v>
      </c>
      <c r="J11" s="0" t="n">
        <v>26.7035846596703</v>
      </c>
    </row>
    <row r="12" customFormat="false" ht="360" hidden="false" customHeight="true" outlineLevel="0" collapsed="false">
      <c r="A12" s="1" t="s">
        <v>28</v>
      </c>
      <c r="B12" s="2" t="b">
        <f aca="false">FALSE()</f>
        <v>0</v>
      </c>
      <c r="C12" s="0" t="n">
        <v>30</v>
      </c>
      <c r="D12" s="0" t="s">
        <v>29</v>
      </c>
      <c r="E12" s="0" t="n">
        <v>0.981481481481482</v>
      </c>
      <c r="F12" s="0" t="n">
        <v>56.4322025106339</v>
      </c>
      <c r="G12" s="0" t="n">
        <v>0.990654205607477</v>
      </c>
      <c r="H12" s="0" t="n">
        <v>-0.934579439252332</v>
      </c>
      <c r="I12" s="0" t="n">
        <v>0.986046511627907</v>
      </c>
      <c r="J12" s="0" t="n">
        <v>27.8822226565045</v>
      </c>
    </row>
    <row r="13" customFormat="false" ht="360" hidden="false" customHeight="true" outlineLevel="0" collapsed="false">
      <c r="A13" s="1" t="s">
        <v>30</v>
      </c>
      <c r="B13" s="2" t="b">
        <f aca="false">TRUE()</f>
        <v>1</v>
      </c>
      <c r="C13" s="0" t="n">
        <v>22</v>
      </c>
      <c r="D13" s="0" t="s">
        <v>31</v>
      </c>
      <c r="E13" s="0" t="n">
        <v>0.963636363636364</v>
      </c>
      <c r="F13" s="0" t="n">
        <v>53.5879806468042</v>
      </c>
      <c r="G13" s="0" t="n">
        <v>0.990654205607477</v>
      </c>
      <c r="H13" s="0" t="n">
        <v>-0.934579439252332</v>
      </c>
      <c r="I13" s="0" t="n">
        <v>0.976958525345622</v>
      </c>
      <c r="J13" s="0" t="n">
        <v>26.7035846596703</v>
      </c>
    </row>
    <row r="14" customFormat="false" ht="360" hidden="false" customHeight="true" outlineLevel="0" collapsed="false">
      <c r="A14" s="1" t="s">
        <v>30</v>
      </c>
      <c r="B14" s="2" t="b">
        <f aca="false">FALSE()</f>
        <v>0</v>
      </c>
      <c r="C14" s="0" t="n">
        <v>22</v>
      </c>
      <c r="D14" s="0" t="s">
        <v>31</v>
      </c>
      <c r="E14" s="0" t="n">
        <v>0.841666666666667</v>
      </c>
      <c r="F14" s="0" t="n">
        <v>34.1479925303454</v>
      </c>
      <c r="G14" s="0" t="n">
        <v>0.94392523364486</v>
      </c>
      <c r="H14" s="0" t="n">
        <v>-5.60747663551402</v>
      </c>
      <c r="I14" s="0" t="n">
        <v>0.889867841409692</v>
      </c>
      <c r="J14" s="0" t="n">
        <v>15.4086304125174</v>
      </c>
    </row>
    <row r="15" customFormat="false" ht="360" hidden="false" customHeight="true" outlineLevel="0" collapsed="false">
      <c r="A15" s="1" t="s">
        <v>32</v>
      </c>
      <c r="B15" s="2" t="b">
        <f aca="false">TRUE()</f>
        <v>1</v>
      </c>
      <c r="C15" s="0" t="n">
        <v>22</v>
      </c>
      <c r="D15" s="0" t="s">
        <v>33</v>
      </c>
      <c r="E15" s="0" t="n">
        <v>0.972727272727273</v>
      </c>
      <c r="F15" s="0" t="n">
        <v>55.0369238604533</v>
      </c>
      <c r="G15" s="0" t="n">
        <v>1</v>
      </c>
      <c r="H15" s="0" t="n">
        <v>0</v>
      </c>
      <c r="I15" s="0" t="n">
        <v>0.986175115207373</v>
      </c>
      <c r="J15" s="0" t="n">
        <v>27.8989014960823</v>
      </c>
    </row>
    <row r="16" customFormat="false" ht="360" hidden="false" customHeight="true" outlineLevel="0" collapsed="false">
      <c r="A16" s="1" t="s">
        <v>32</v>
      </c>
      <c r="B16" s="2" t="b">
        <f aca="false">FALSE()</f>
        <v>0</v>
      </c>
      <c r="C16" s="0" t="n">
        <v>22</v>
      </c>
      <c r="D16" s="0" t="s">
        <v>34</v>
      </c>
      <c r="E16" s="0" t="n">
        <v>0.936936936936937</v>
      </c>
      <c r="F16" s="0" t="n">
        <v>49.332525803114</v>
      </c>
      <c r="G16" s="0" t="n">
        <v>0.97196261682243</v>
      </c>
      <c r="H16" s="0" t="n">
        <v>-2.80373831775701</v>
      </c>
      <c r="I16" s="0" t="n">
        <v>0.954128440366972</v>
      </c>
      <c r="J16" s="0" t="n">
        <v>23.7427080924113</v>
      </c>
    </row>
    <row r="17" customFormat="false" ht="360" hidden="false" customHeight="true" outlineLevel="0" collapsed="false">
      <c r="A17" s="1" t="s">
        <v>35</v>
      </c>
      <c r="B17" s="2" t="b">
        <f aca="false">TRUE()</f>
        <v>1</v>
      </c>
      <c r="C17" s="0" t="n">
        <v>22</v>
      </c>
      <c r="D17" s="0" t="s">
        <v>36</v>
      </c>
      <c r="E17" s="0" t="n">
        <v>0.990654205607477</v>
      </c>
      <c r="F17" s="0" t="n">
        <v>57.8941857116678</v>
      </c>
      <c r="G17" s="0" t="n">
        <v>0.990654205607477</v>
      </c>
      <c r="H17" s="0" t="n">
        <v>-0.934579439252332</v>
      </c>
      <c r="I17" s="0" t="n">
        <v>0.990654205607477</v>
      </c>
      <c r="J17" s="0" t="n">
        <v>28.4798031362077</v>
      </c>
    </row>
    <row r="18" customFormat="false" ht="360" hidden="false" customHeight="true" outlineLevel="0" collapsed="false">
      <c r="A18" s="1" t="s">
        <v>35</v>
      </c>
      <c r="B18" s="2" t="b">
        <f aca="false">FALSE()</f>
        <v>0</v>
      </c>
      <c r="C18" s="0" t="n">
        <v>22</v>
      </c>
      <c r="D18" s="0" t="s">
        <v>37</v>
      </c>
      <c r="E18" s="0" t="n">
        <v>0.929203539823009</v>
      </c>
      <c r="F18" s="0" t="n">
        <v>48.0999479437793</v>
      </c>
      <c r="G18" s="0" t="n">
        <v>0.981308411214953</v>
      </c>
      <c r="H18" s="0" t="n">
        <v>-1.86915887850468</v>
      </c>
      <c r="I18" s="0" t="n">
        <v>0.954545454545455</v>
      </c>
      <c r="J18" s="0" t="n">
        <v>23.7967914438503</v>
      </c>
    </row>
    <row r="19" customFormat="false" ht="360" hidden="false" customHeight="true" outlineLevel="0" collapsed="false">
      <c r="A19" s="1" t="s">
        <v>38</v>
      </c>
      <c r="B19" s="2" t="b">
        <f aca="false">TRUE()</f>
        <v>1</v>
      </c>
      <c r="C19" s="0" t="n">
        <v>22</v>
      </c>
      <c r="D19" s="0" t="s">
        <v>39</v>
      </c>
      <c r="E19" s="0" t="n">
        <v>0.911764705882353</v>
      </c>
      <c r="F19" s="0" t="n">
        <v>45.3204811336299</v>
      </c>
      <c r="G19" s="0" t="n">
        <v>0.869158878504673</v>
      </c>
      <c r="H19" s="0" t="n">
        <v>-13.0841121495327</v>
      </c>
      <c r="I19" s="0" t="n">
        <v>0.889952153110048</v>
      </c>
      <c r="J19" s="0" t="n">
        <v>15.4195649551687</v>
      </c>
    </row>
    <row r="20" customFormat="false" ht="360" hidden="false" customHeight="true" outlineLevel="0" collapsed="false">
      <c r="A20" s="1" t="s">
        <v>38</v>
      </c>
      <c r="B20" s="2" t="b">
        <f aca="false">FALSE()</f>
        <v>0</v>
      </c>
      <c r="C20" s="0" t="n">
        <v>22</v>
      </c>
      <c r="D20" s="0" t="s">
        <v>40</v>
      </c>
      <c r="E20" s="0" t="n">
        <v>0.88695652173913</v>
      </c>
      <c r="F20" s="0" t="n">
        <v>41.3664596273292</v>
      </c>
      <c r="G20" s="0" t="n">
        <v>0.953271028037383</v>
      </c>
      <c r="H20" s="0" t="n">
        <v>-4.67289719626169</v>
      </c>
      <c r="I20" s="0" t="n">
        <v>0.918918918918919</v>
      </c>
      <c r="J20" s="0" t="n">
        <v>19.1763191763192</v>
      </c>
    </row>
    <row r="21" customFormat="false" ht="360" hidden="false" customHeight="true" outlineLevel="0" collapsed="false">
      <c r="A21" s="1" t="s">
        <v>41</v>
      </c>
      <c r="B21" s="2" t="b">
        <f aca="false">TRUE()</f>
        <v>1</v>
      </c>
      <c r="C21" s="0" t="n">
        <v>22</v>
      </c>
      <c r="D21" s="0" t="s">
        <v>29</v>
      </c>
      <c r="E21" s="0" t="n">
        <v>0.972727272727273</v>
      </c>
      <c r="F21" s="0" t="n">
        <v>55.0369238604533</v>
      </c>
      <c r="G21" s="0" t="n">
        <v>1</v>
      </c>
      <c r="H21" s="0" t="n">
        <v>0</v>
      </c>
      <c r="I21" s="0" t="n">
        <v>0.986175115207373</v>
      </c>
      <c r="J21" s="0" t="n">
        <v>27.8989014960823</v>
      </c>
    </row>
    <row r="22" customFormat="false" ht="360" hidden="false" customHeight="true" outlineLevel="0" collapsed="false">
      <c r="A22" s="1" t="s">
        <v>41</v>
      </c>
      <c r="B22" s="2" t="b">
        <f aca="false">FALSE()</f>
        <v>0</v>
      </c>
      <c r="C22" s="0" t="n">
        <v>22</v>
      </c>
      <c r="D22" s="0" t="s">
        <v>29</v>
      </c>
      <c r="E22" s="0" t="n">
        <v>0.972727272727273</v>
      </c>
      <c r="F22" s="0" t="n">
        <v>55.0369238604533</v>
      </c>
      <c r="G22" s="0" t="n">
        <v>1</v>
      </c>
      <c r="H22" s="0" t="n">
        <v>0</v>
      </c>
      <c r="I22" s="0" t="n">
        <v>0.986175115207373</v>
      </c>
      <c r="J22" s="0" t="n">
        <v>27.8989014960823</v>
      </c>
    </row>
    <row r="23" customFormat="false" ht="360" hidden="false" customHeight="true" outlineLevel="0" collapsed="false">
      <c r="A23" s="1" t="s">
        <v>42</v>
      </c>
      <c r="B23" s="2" t="b">
        <f aca="false">TRUE()</f>
        <v>1</v>
      </c>
      <c r="C23" s="0" t="n">
        <v>27</v>
      </c>
      <c r="D23" s="0" t="s">
        <v>43</v>
      </c>
      <c r="E23" s="0" t="n">
        <v>0.990566037735849</v>
      </c>
      <c r="F23" s="0" t="n">
        <v>57.8801331853496</v>
      </c>
      <c r="G23" s="0" t="n">
        <v>0.981308411214953</v>
      </c>
      <c r="H23" s="0" t="n">
        <v>-1.86915887850468</v>
      </c>
      <c r="I23" s="0" t="n">
        <v>0.985915492957746</v>
      </c>
      <c r="J23" s="0" t="n">
        <v>27.865230599282</v>
      </c>
    </row>
    <row r="24" customFormat="false" ht="360" hidden="false" customHeight="true" outlineLevel="0" collapsed="false">
      <c r="A24" s="1" t="s">
        <v>42</v>
      </c>
      <c r="B24" s="2" t="b">
        <f aca="false">FALSE()</f>
        <v>0</v>
      </c>
      <c r="C24" s="0" t="n">
        <v>27</v>
      </c>
      <c r="D24" s="0" t="s">
        <v>44</v>
      </c>
      <c r="E24" s="0" t="n">
        <v>0.911504424778761</v>
      </c>
      <c r="F24" s="0" t="n">
        <v>45.278996554374</v>
      </c>
      <c r="G24" s="0" t="n">
        <v>0.962616822429906</v>
      </c>
      <c r="H24" s="0" t="n">
        <v>-3.73831775700934</v>
      </c>
      <c r="I24" s="0" t="n">
        <v>0.936363636363636</v>
      </c>
      <c r="J24" s="0" t="n">
        <v>21.4387573211103</v>
      </c>
    </row>
    <row r="25" customFormat="false" ht="360" hidden="false" customHeight="true" outlineLevel="0" collapsed="false">
      <c r="A25" s="1" t="s">
        <v>45</v>
      </c>
      <c r="B25" s="2" t="b">
        <f aca="false">TRUE()</f>
        <v>1</v>
      </c>
      <c r="C25" s="0" t="n">
        <v>27</v>
      </c>
      <c r="D25" s="0" t="s">
        <v>46</v>
      </c>
      <c r="E25" s="0" t="n">
        <v>0.981651376146789</v>
      </c>
      <c r="F25" s="0" t="n">
        <v>56.4592809600904</v>
      </c>
      <c r="G25" s="0" t="n">
        <v>1</v>
      </c>
      <c r="H25" s="0" t="n">
        <v>0</v>
      </c>
      <c r="I25" s="0" t="n">
        <v>0.990740740740741</v>
      </c>
      <c r="J25" s="0" t="n">
        <v>28.4910260400456</v>
      </c>
    </row>
    <row r="26" customFormat="false" ht="360" hidden="false" customHeight="true" outlineLevel="0" collapsed="false">
      <c r="A26" s="1" t="s">
        <v>45</v>
      </c>
      <c r="B26" s="2" t="b">
        <f aca="false">FALSE()</f>
        <v>0</v>
      </c>
      <c r="C26" s="0" t="n">
        <v>27</v>
      </c>
      <c r="D26" s="0" t="s">
        <v>47</v>
      </c>
      <c r="E26" s="0" t="n">
        <v>0.945945945945946</v>
      </c>
      <c r="F26" s="0" t="n">
        <v>50.7684154742978</v>
      </c>
      <c r="G26" s="0" t="n">
        <v>0.981308411214953</v>
      </c>
      <c r="H26" s="0" t="n">
        <v>-1.86915887850468</v>
      </c>
      <c r="I26" s="0" t="n">
        <v>0.963302752293578</v>
      </c>
      <c r="J26" s="0" t="n">
        <v>24.9325418240691</v>
      </c>
    </row>
    <row r="27" customFormat="false" ht="360" hidden="false" customHeight="true" outlineLevel="0" collapsed="false">
      <c r="A27" s="1" t="s">
        <v>48</v>
      </c>
      <c r="B27" s="2" t="b">
        <f aca="false">TRUE()</f>
        <v>1</v>
      </c>
      <c r="C27" s="0" t="n">
        <v>27</v>
      </c>
      <c r="D27" s="0" t="s">
        <v>49</v>
      </c>
      <c r="E27" s="0" t="n">
        <v>0.990654205607477</v>
      </c>
      <c r="F27" s="0" t="n">
        <v>57.8941857116678</v>
      </c>
      <c r="G27" s="0" t="n">
        <v>0.990654205607477</v>
      </c>
      <c r="H27" s="0" t="n">
        <v>-0.934579439252332</v>
      </c>
      <c r="I27" s="0" t="n">
        <v>0.990654205607477</v>
      </c>
      <c r="J27" s="0" t="n">
        <v>28.4798031362077</v>
      </c>
    </row>
    <row r="28" customFormat="false" ht="360" hidden="false" customHeight="true" outlineLevel="0" collapsed="false">
      <c r="A28" s="1" t="s">
        <v>48</v>
      </c>
      <c r="B28" s="2" t="b">
        <f aca="false">FALSE()</f>
        <v>0</v>
      </c>
      <c r="C28" s="0" t="n">
        <v>27</v>
      </c>
      <c r="D28" s="0" t="s">
        <v>50</v>
      </c>
      <c r="E28" s="0" t="n">
        <v>0.946428571428571</v>
      </c>
      <c r="F28" s="0" t="n">
        <v>50.8453381352541</v>
      </c>
      <c r="G28" s="0" t="n">
        <v>0.990654205607477</v>
      </c>
      <c r="H28" s="0" t="n">
        <v>-0.934579439252332</v>
      </c>
      <c r="I28" s="0" t="n">
        <v>0.968036529680365</v>
      </c>
      <c r="J28" s="0" t="n">
        <v>25.5464742974815</v>
      </c>
    </row>
    <row r="29" customFormat="false" ht="360" hidden="false" customHeight="true" outlineLevel="0" collapsed="false">
      <c r="A29" s="1" t="s">
        <v>51</v>
      </c>
      <c r="B29" s="2" t="b">
        <f aca="false">TRUE()</f>
        <v>1</v>
      </c>
      <c r="C29" s="0" t="n">
        <v>27</v>
      </c>
      <c r="D29" s="0" t="s">
        <v>52</v>
      </c>
      <c r="E29" s="0" t="n">
        <v>0.918181818181818</v>
      </c>
      <c r="F29" s="0" t="n">
        <v>46.3432645785587</v>
      </c>
      <c r="G29" s="0" t="n">
        <v>0.94392523364486</v>
      </c>
      <c r="H29" s="0" t="n">
        <v>-5.60747663551402</v>
      </c>
      <c r="I29" s="0" t="n">
        <v>0.930875576036866</v>
      </c>
      <c r="J29" s="0" t="n">
        <v>20.7270004776104</v>
      </c>
    </row>
    <row r="30" customFormat="false" ht="360" hidden="false" customHeight="true" outlineLevel="0" collapsed="false">
      <c r="A30" s="1" t="s">
        <v>51</v>
      </c>
      <c r="B30" s="2" t="b">
        <f aca="false">FALSE()</f>
        <v>0</v>
      </c>
      <c r="C30" s="0" t="n">
        <v>27</v>
      </c>
      <c r="D30" s="0" t="s">
        <v>53</v>
      </c>
      <c r="E30" s="0" t="n">
        <v>0.912280701754386</v>
      </c>
      <c r="F30" s="0" t="n">
        <v>45.4027224925058</v>
      </c>
      <c r="G30" s="0" t="n">
        <v>0.97196261682243</v>
      </c>
      <c r="H30" s="0" t="n">
        <v>-2.80373831775701</v>
      </c>
      <c r="I30" s="0" t="n">
        <v>0.941176470588235</v>
      </c>
      <c r="J30" s="0" t="n">
        <v>22.0629428241885</v>
      </c>
    </row>
    <row r="31" customFormat="false" ht="360" hidden="false" customHeight="true" outlineLevel="0" collapsed="false">
      <c r="A31" s="1" t="s">
        <v>54</v>
      </c>
      <c r="B31" s="2" t="b">
        <f aca="false">TRUE()</f>
        <v>1</v>
      </c>
      <c r="C31" s="0" t="n">
        <v>27</v>
      </c>
      <c r="D31" s="0" t="s">
        <v>29</v>
      </c>
      <c r="E31" s="0" t="n">
        <v>0.981481481481482</v>
      </c>
      <c r="F31" s="0" t="n">
        <v>56.4322025106339</v>
      </c>
      <c r="G31" s="0" t="n">
        <v>0.990654205607477</v>
      </c>
      <c r="H31" s="0" t="n">
        <v>-0.934579439252332</v>
      </c>
      <c r="I31" s="0" t="n">
        <v>0.986046511627907</v>
      </c>
      <c r="J31" s="0" t="n">
        <v>27.8822226565045</v>
      </c>
    </row>
    <row r="32" customFormat="false" ht="360" hidden="false" customHeight="true" outlineLevel="0" collapsed="false">
      <c r="A32" s="1" t="s">
        <v>54</v>
      </c>
      <c r="B32" s="2" t="b">
        <f aca="false">FALSE()</f>
        <v>0</v>
      </c>
      <c r="C32" s="0" t="n">
        <v>27</v>
      </c>
      <c r="D32" s="0" t="s">
        <v>29</v>
      </c>
      <c r="E32" s="0" t="n">
        <v>0.990654205607477</v>
      </c>
      <c r="F32" s="0" t="n">
        <v>57.8941857116678</v>
      </c>
      <c r="G32" s="0" t="n">
        <v>0.990654205607477</v>
      </c>
      <c r="H32" s="0" t="n">
        <v>-0.934579439252332</v>
      </c>
      <c r="I32" s="0" t="n">
        <v>0.990654205607477</v>
      </c>
      <c r="J32" s="0" t="n">
        <v>28.4798031362077</v>
      </c>
    </row>
    <row r="33" customFormat="false" ht="360" hidden="false" customHeight="true" outlineLevel="0" collapsed="false">
      <c r="A33" s="1" t="s">
        <v>55</v>
      </c>
      <c r="B33" s="2" t="b">
        <f aca="false">TRUE()</f>
        <v>1</v>
      </c>
      <c r="C33" s="0" t="n">
        <v>25</v>
      </c>
      <c r="D33" s="0" t="s">
        <v>14</v>
      </c>
      <c r="E33" s="0" t="n">
        <v>0.972477064220183</v>
      </c>
      <c r="F33" s="0" t="n">
        <v>54.9970446894354</v>
      </c>
      <c r="G33" s="0" t="n">
        <v>0.990654205607477</v>
      </c>
      <c r="H33" s="0" t="n">
        <v>-0.934579439252332</v>
      </c>
      <c r="I33" s="0" t="n">
        <v>0.981481481481482</v>
      </c>
      <c r="J33" s="0" t="n">
        <v>27.290175329391</v>
      </c>
    </row>
    <row r="34" customFormat="false" ht="360" hidden="false" customHeight="true" outlineLevel="0" collapsed="false">
      <c r="A34" s="1" t="s">
        <v>55</v>
      </c>
      <c r="B34" s="2" t="b">
        <f aca="false">FALSE()</f>
        <v>0</v>
      </c>
      <c r="C34" s="0" t="n">
        <v>25</v>
      </c>
      <c r="D34" s="0" t="s">
        <v>44</v>
      </c>
      <c r="E34" s="0" t="n">
        <v>0.911504424778761</v>
      </c>
      <c r="F34" s="0" t="n">
        <v>45.278996554374</v>
      </c>
      <c r="G34" s="0" t="n">
        <v>0.962616822429906</v>
      </c>
      <c r="H34" s="0" t="n">
        <v>-3.73831775700934</v>
      </c>
      <c r="I34" s="0" t="n">
        <v>0.936363636363636</v>
      </c>
      <c r="J34" s="0" t="n">
        <v>21.4387573211103</v>
      </c>
    </row>
    <row r="35" customFormat="false" ht="360" hidden="false" customHeight="true" outlineLevel="0" collapsed="false">
      <c r="A35" s="1" t="s">
        <v>56</v>
      </c>
      <c r="B35" s="2" t="b">
        <f aca="false">TRUE()</f>
        <v>1</v>
      </c>
      <c r="C35" s="0" t="n">
        <v>25</v>
      </c>
      <c r="D35" s="0" t="s">
        <v>46</v>
      </c>
      <c r="E35" s="0" t="n">
        <v>0.972727272727273</v>
      </c>
      <c r="F35" s="0" t="n">
        <v>55.0369238604533</v>
      </c>
      <c r="G35" s="0" t="n">
        <v>1</v>
      </c>
      <c r="H35" s="0" t="n">
        <v>0</v>
      </c>
      <c r="I35" s="0" t="n">
        <v>0.986175115207373</v>
      </c>
      <c r="J35" s="0" t="n">
        <v>27.8989014960823</v>
      </c>
    </row>
    <row r="36" customFormat="false" ht="360" hidden="false" customHeight="true" outlineLevel="0" collapsed="false">
      <c r="A36" s="1" t="s">
        <v>56</v>
      </c>
      <c r="B36" s="2" t="b">
        <f aca="false">FALSE()</f>
        <v>0</v>
      </c>
      <c r="C36" s="0" t="n">
        <v>25</v>
      </c>
      <c r="D36" s="0" t="s">
        <v>21</v>
      </c>
      <c r="E36" s="0" t="n">
        <v>0.945454545454545</v>
      </c>
      <c r="F36" s="0" t="n">
        <v>50.690094219506</v>
      </c>
      <c r="G36" s="0" t="n">
        <v>0.97196261682243</v>
      </c>
      <c r="H36" s="0" t="n">
        <v>-2.80373831775701</v>
      </c>
      <c r="I36" s="0" t="n">
        <v>0.95852534562212</v>
      </c>
      <c r="J36" s="0" t="n">
        <v>24.3129509868463</v>
      </c>
    </row>
    <row r="37" customFormat="false" ht="360" hidden="false" customHeight="true" outlineLevel="0" collapsed="false">
      <c r="A37" s="1" t="s">
        <v>57</v>
      </c>
      <c r="B37" s="2" t="b">
        <f aca="false">TRUE()</f>
        <v>1</v>
      </c>
      <c r="C37" s="0" t="n">
        <v>25</v>
      </c>
      <c r="D37" s="0" t="s">
        <v>58</v>
      </c>
      <c r="E37" s="0" t="n">
        <v>0.972222222222222</v>
      </c>
      <c r="F37" s="0" t="n">
        <v>54.9564270152505</v>
      </c>
      <c r="G37" s="0" t="n">
        <v>0.981308411214953</v>
      </c>
      <c r="H37" s="0" t="n">
        <v>-1.86915887850468</v>
      </c>
      <c r="I37" s="0" t="n">
        <v>0.976744186046512</v>
      </c>
      <c r="J37" s="0" t="n">
        <v>26.6757865937072</v>
      </c>
    </row>
    <row r="38" customFormat="false" ht="360" hidden="false" customHeight="true" outlineLevel="0" collapsed="false">
      <c r="A38" s="1" t="s">
        <v>57</v>
      </c>
      <c r="B38" s="2" t="b">
        <f aca="false">FALSE()</f>
        <v>0</v>
      </c>
      <c r="C38" s="0" t="n">
        <v>25</v>
      </c>
      <c r="D38" s="0" t="s">
        <v>59</v>
      </c>
      <c r="E38" s="0" t="n">
        <v>0.936936936936937</v>
      </c>
      <c r="F38" s="0" t="n">
        <v>49.332525803114</v>
      </c>
      <c r="G38" s="0" t="n">
        <v>0.97196261682243</v>
      </c>
      <c r="H38" s="0" t="n">
        <v>-2.80373831775701</v>
      </c>
      <c r="I38" s="0" t="n">
        <v>0.954128440366972</v>
      </c>
      <c r="J38" s="0" t="n">
        <v>23.7427080924113</v>
      </c>
    </row>
    <row r="39" customFormat="false" ht="360" hidden="false" customHeight="true" outlineLevel="0" collapsed="false">
      <c r="A39" s="1" t="s">
        <v>60</v>
      </c>
      <c r="B39" s="2" t="b">
        <f aca="false">TRUE()</f>
        <v>1</v>
      </c>
      <c r="C39" s="0" t="n">
        <v>25</v>
      </c>
      <c r="D39" s="0" t="s">
        <v>61</v>
      </c>
      <c r="E39" s="0" t="n">
        <v>0.887931034482759</v>
      </c>
      <c r="F39" s="0" t="n">
        <v>41.5217811262436</v>
      </c>
      <c r="G39" s="0" t="n">
        <v>0.962616822429906</v>
      </c>
      <c r="H39" s="0" t="n">
        <v>-3.73831775700934</v>
      </c>
      <c r="I39" s="0" t="n">
        <v>0.923766816143498</v>
      </c>
      <c r="J39" s="0" t="n">
        <v>19.8050520656693</v>
      </c>
    </row>
    <row r="40" customFormat="false" ht="360" hidden="false" customHeight="true" outlineLevel="0" collapsed="false">
      <c r="A40" s="1" t="s">
        <v>60</v>
      </c>
      <c r="B40" s="2" t="b">
        <f aca="false">FALSE()</f>
        <v>0</v>
      </c>
      <c r="C40" s="0" t="n">
        <v>25</v>
      </c>
      <c r="D40" s="0" t="s">
        <v>62</v>
      </c>
      <c r="E40" s="0" t="n">
        <v>0.90990990990991</v>
      </c>
      <c r="F40" s="0" t="n">
        <v>45.0248567895627</v>
      </c>
      <c r="G40" s="0" t="n">
        <v>0.94392523364486</v>
      </c>
      <c r="H40" s="0" t="n">
        <v>-5.60747663551402</v>
      </c>
      <c r="I40" s="0" t="n">
        <v>0.926605504587156</v>
      </c>
      <c r="J40" s="0" t="n">
        <v>20.1732068974379</v>
      </c>
    </row>
    <row r="41" customFormat="false" ht="360" hidden="false" customHeight="true" outlineLevel="0" collapsed="false">
      <c r="A41" s="1" t="s">
        <v>63</v>
      </c>
      <c r="B41" s="2" t="b">
        <f aca="false">TRUE()</f>
        <v>1</v>
      </c>
      <c r="C41" s="0" t="n">
        <v>25</v>
      </c>
      <c r="D41" s="0" t="s">
        <v>29</v>
      </c>
      <c r="E41" s="0" t="n">
        <v>0.963302752293578</v>
      </c>
      <c r="F41" s="0" t="n">
        <v>53.5348084187804</v>
      </c>
      <c r="G41" s="0" t="n">
        <v>0.981308411214953</v>
      </c>
      <c r="H41" s="0" t="n">
        <v>-1.86915887850468</v>
      </c>
      <c r="I41" s="0" t="n">
        <v>0.972222222222222</v>
      </c>
      <c r="J41" s="0" t="n">
        <v>26.0893246187364</v>
      </c>
    </row>
    <row r="42" customFormat="false" ht="360" hidden="false" customHeight="true" outlineLevel="0" collapsed="false">
      <c r="A42" s="1" t="s">
        <v>63</v>
      </c>
      <c r="B42" s="2" t="b">
        <f aca="false">FALSE()</f>
        <v>0</v>
      </c>
      <c r="C42" s="0" t="n">
        <v>25</v>
      </c>
      <c r="D42" s="0" t="s">
        <v>29</v>
      </c>
      <c r="E42" s="0" t="n">
        <v>0.972727272727273</v>
      </c>
      <c r="F42" s="0" t="n">
        <v>55.0369238604533</v>
      </c>
      <c r="G42" s="0" t="n">
        <v>1</v>
      </c>
      <c r="H42" s="0" t="n">
        <v>0</v>
      </c>
      <c r="I42" s="0" t="n">
        <v>0.986175115207373</v>
      </c>
      <c r="J42" s="0" t="n">
        <v>27.8989014960823</v>
      </c>
    </row>
    <row r="43" customFormat="false" ht="360" hidden="false" customHeight="true" outlineLevel="0" collapsed="false">
      <c r="A43" s="1" t="s">
        <v>64</v>
      </c>
      <c r="B43" s="2" t="b">
        <f aca="false">TRUE()</f>
        <v>1</v>
      </c>
      <c r="C43" s="0" t="n">
        <v>19</v>
      </c>
      <c r="D43" s="0" t="s">
        <v>31</v>
      </c>
      <c r="E43" s="0" t="n">
        <v>0.962962962962963</v>
      </c>
      <c r="F43" s="0" t="n">
        <v>53.4806515198672</v>
      </c>
      <c r="G43" s="0" t="n">
        <v>0.97196261682243</v>
      </c>
      <c r="H43" s="0" t="n">
        <v>-2.80373831775701</v>
      </c>
      <c r="I43" s="0" t="n">
        <v>0.967441860465116</v>
      </c>
      <c r="J43" s="0" t="n">
        <v>25.46935053091</v>
      </c>
    </row>
    <row r="44" customFormat="false" ht="360" hidden="false" customHeight="true" outlineLevel="0" collapsed="false">
      <c r="A44" s="1" t="s">
        <v>64</v>
      </c>
      <c r="B44" s="2" t="b">
        <f aca="false">FALSE()</f>
        <v>0</v>
      </c>
      <c r="C44" s="0" t="n">
        <v>19</v>
      </c>
      <c r="D44" s="0" t="s">
        <v>65</v>
      </c>
      <c r="E44" s="0" t="n">
        <v>0.776859504132231</v>
      </c>
      <c r="F44" s="0" t="n">
        <v>23.8187837118318</v>
      </c>
      <c r="G44" s="0" t="n">
        <v>0.878504672897196</v>
      </c>
      <c r="H44" s="0" t="n">
        <v>-12.1495327102804</v>
      </c>
      <c r="I44" s="0" t="n">
        <v>0.824561403508772</v>
      </c>
      <c r="J44" s="0" t="n">
        <v>6.93891591724409</v>
      </c>
    </row>
    <row r="45" customFormat="false" ht="360" hidden="false" customHeight="true" outlineLevel="0" collapsed="false">
      <c r="A45" s="1" t="s">
        <v>66</v>
      </c>
      <c r="B45" s="2" t="b">
        <f aca="false">TRUE()</f>
        <v>1</v>
      </c>
      <c r="C45" s="0" t="n">
        <v>19</v>
      </c>
      <c r="D45" s="0" t="s">
        <v>19</v>
      </c>
      <c r="E45" s="0" t="n">
        <v>0.972727272727273</v>
      </c>
      <c r="F45" s="0" t="n">
        <v>55.0369238604533</v>
      </c>
      <c r="G45" s="0" t="n">
        <v>1</v>
      </c>
      <c r="H45" s="0" t="n">
        <v>0</v>
      </c>
      <c r="I45" s="0" t="n">
        <v>0.986175115207373</v>
      </c>
      <c r="J45" s="0" t="n">
        <v>27.8989014960823</v>
      </c>
    </row>
    <row r="46" customFormat="false" ht="360" hidden="false" customHeight="true" outlineLevel="0" collapsed="false">
      <c r="A46" s="1" t="s">
        <v>66</v>
      </c>
      <c r="B46" s="2" t="b">
        <f aca="false">FALSE()</f>
        <v>0</v>
      </c>
      <c r="C46" s="0" t="n">
        <v>19</v>
      </c>
      <c r="D46" s="0" t="s">
        <v>21</v>
      </c>
      <c r="E46" s="0" t="n">
        <v>0.830645161290323</v>
      </c>
      <c r="F46" s="0" t="n">
        <v>32.3913436342279</v>
      </c>
      <c r="G46" s="0" t="n">
        <v>0.962616822429906</v>
      </c>
      <c r="H46" s="0" t="n">
        <v>-3.73831775700934</v>
      </c>
      <c r="I46" s="0" t="n">
        <v>0.891774891774892</v>
      </c>
      <c r="J46" s="0" t="n">
        <v>15.6559593534383</v>
      </c>
    </row>
    <row r="47" customFormat="false" ht="360" hidden="false" customHeight="true" outlineLevel="0" collapsed="false">
      <c r="A47" s="1" t="s">
        <v>67</v>
      </c>
      <c r="B47" s="2" t="b">
        <f aca="false">TRUE()</f>
        <v>1</v>
      </c>
      <c r="C47" s="0" t="n">
        <v>19</v>
      </c>
      <c r="D47" s="0" t="s">
        <v>59</v>
      </c>
      <c r="E47" s="0" t="n">
        <v>0.972477064220183</v>
      </c>
      <c r="F47" s="0" t="n">
        <v>54.9970446894354</v>
      </c>
      <c r="G47" s="0" t="n">
        <v>0.990654205607477</v>
      </c>
      <c r="H47" s="0" t="n">
        <v>-0.934579439252332</v>
      </c>
      <c r="I47" s="0" t="n">
        <v>0.981481481481482</v>
      </c>
      <c r="J47" s="0" t="n">
        <v>27.290175329391</v>
      </c>
    </row>
    <row r="48" customFormat="false" ht="360" hidden="false" customHeight="true" outlineLevel="0" collapsed="false">
      <c r="A48" s="1" t="s">
        <v>67</v>
      </c>
      <c r="B48" s="2" t="b">
        <f aca="false">FALSE()</f>
        <v>0</v>
      </c>
      <c r="C48" s="0" t="n">
        <v>19</v>
      </c>
      <c r="D48" s="0" t="s">
        <v>49</v>
      </c>
      <c r="E48" s="0" t="n">
        <v>0.866666666666667</v>
      </c>
      <c r="F48" s="0" t="n">
        <v>38.1325863678805</v>
      </c>
      <c r="G48" s="0" t="n">
        <v>0.97196261682243</v>
      </c>
      <c r="H48" s="0" t="n">
        <v>-2.80373831775701</v>
      </c>
      <c r="I48" s="0" t="n">
        <v>0.916299559471366</v>
      </c>
      <c r="J48" s="0" t="n">
        <v>18.8366095336813</v>
      </c>
    </row>
    <row r="49" customFormat="false" ht="360" hidden="false" customHeight="true" outlineLevel="0" collapsed="false">
      <c r="A49" s="1" t="s">
        <v>68</v>
      </c>
      <c r="B49" s="2" t="b">
        <f aca="false">TRUE()</f>
        <v>1</v>
      </c>
      <c r="C49" s="0" t="n">
        <v>19</v>
      </c>
      <c r="D49" s="0" t="s">
        <v>69</v>
      </c>
      <c r="E49" s="0" t="n">
        <v>0.88034188034188</v>
      </c>
      <c r="F49" s="0" t="n">
        <v>40.3121932533697</v>
      </c>
      <c r="G49" s="0" t="n">
        <v>0.962616822429906</v>
      </c>
      <c r="H49" s="0" t="n">
        <v>-3.73831775700934</v>
      </c>
      <c r="I49" s="0" t="n">
        <v>0.919642857142857</v>
      </c>
      <c r="J49" s="0" t="n">
        <v>19.2702080832333</v>
      </c>
    </row>
    <row r="50" customFormat="false" ht="360" hidden="false" customHeight="true" outlineLevel="0" collapsed="false">
      <c r="A50" s="1" t="s">
        <v>68</v>
      </c>
      <c r="B50" s="2" t="b">
        <f aca="false">FALSE()</f>
        <v>0</v>
      </c>
      <c r="C50" s="0" t="n">
        <v>19</v>
      </c>
      <c r="D50" s="0" t="s">
        <v>70</v>
      </c>
      <c r="E50" s="0" t="n">
        <v>0.872881355932203</v>
      </c>
      <c r="F50" s="0" t="n">
        <v>39.1231068698666</v>
      </c>
      <c r="G50" s="0" t="n">
        <v>0.962616822429906</v>
      </c>
      <c r="H50" s="0" t="n">
        <v>-3.73831775700934</v>
      </c>
      <c r="I50" s="0" t="n">
        <v>0.915555555555556</v>
      </c>
      <c r="J50" s="0" t="n">
        <v>18.74011826953</v>
      </c>
    </row>
    <row r="51" customFormat="false" ht="360" hidden="false" customHeight="true" outlineLevel="0" collapsed="false">
      <c r="A51" s="1" t="s">
        <v>71</v>
      </c>
      <c r="B51" s="2" t="b">
        <f aca="false">TRUE()</f>
        <v>1</v>
      </c>
      <c r="C51" s="0" t="n">
        <v>19</v>
      </c>
      <c r="D51" s="0" t="s">
        <v>29</v>
      </c>
      <c r="E51" s="0" t="n">
        <v>0.972727272727273</v>
      </c>
      <c r="F51" s="0" t="n">
        <v>55.0369238604533</v>
      </c>
      <c r="G51" s="0" t="n">
        <v>1</v>
      </c>
      <c r="H51" s="0" t="n">
        <v>0</v>
      </c>
      <c r="I51" s="0" t="n">
        <v>0.986175115207373</v>
      </c>
      <c r="J51" s="0" t="n">
        <v>27.8989014960823</v>
      </c>
    </row>
    <row r="52" customFormat="false" ht="360" hidden="false" customHeight="true" outlineLevel="0" collapsed="false">
      <c r="A52" s="1" t="s">
        <v>71</v>
      </c>
      <c r="B52" s="2" t="b">
        <f aca="false">FALSE()</f>
        <v>0</v>
      </c>
      <c r="C52" s="0" t="n">
        <v>19</v>
      </c>
      <c r="D52" s="0" t="s">
        <v>29</v>
      </c>
      <c r="E52" s="0" t="n">
        <v>0.972727272727273</v>
      </c>
      <c r="F52" s="0" t="n">
        <v>55.0369238604533</v>
      </c>
      <c r="G52" s="0" t="n">
        <v>1</v>
      </c>
      <c r="H52" s="0" t="n">
        <v>0</v>
      </c>
      <c r="I52" s="0" t="n">
        <v>0.986175115207373</v>
      </c>
      <c r="J52" s="0" t="n">
        <v>27.8989014960823</v>
      </c>
    </row>
    <row r="53" customFormat="false" ht="360" hidden="false" customHeight="true" outlineLevel="0" collapsed="false">
      <c r="A53" s="1" t="s">
        <v>72</v>
      </c>
      <c r="B53" s="2" t="b">
        <f aca="false">TRUE()</f>
        <v>1</v>
      </c>
      <c r="C53" s="0" t="n">
        <v>14</v>
      </c>
      <c r="D53" s="0" t="s">
        <v>73</v>
      </c>
      <c r="E53" s="0" t="n">
        <v>0.911504424778761</v>
      </c>
      <c r="F53" s="0" t="n">
        <v>45.278996554374</v>
      </c>
      <c r="G53" s="0" t="n">
        <v>0.962616822429906</v>
      </c>
      <c r="H53" s="0" t="n">
        <v>-3.73831775700934</v>
      </c>
      <c r="I53" s="0" t="n">
        <v>0.936363636363636</v>
      </c>
      <c r="J53" s="0" t="n">
        <v>21.4387573211103</v>
      </c>
    </row>
    <row r="54" customFormat="false" ht="360" hidden="false" customHeight="true" outlineLevel="0" collapsed="false">
      <c r="A54" s="1" t="s">
        <v>72</v>
      </c>
      <c r="B54" s="2" t="b">
        <f aca="false">FALSE()</f>
        <v>0</v>
      </c>
      <c r="C54" s="0" t="n">
        <v>14</v>
      </c>
      <c r="D54" s="0" t="s">
        <v>65</v>
      </c>
      <c r="E54" s="0" t="n">
        <v>0.78448275862069</v>
      </c>
      <c r="F54" s="0" t="n">
        <v>25.0338066260987</v>
      </c>
      <c r="G54" s="0" t="n">
        <v>0.850467289719626</v>
      </c>
      <c r="H54" s="0" t="n">
        <v>-14.9532710280374</v>
      </c>
      <c r="I54" s="0" t="n">
        <v>0.816143497757848</v>
      </c>
      <c r="J54" s="0" t="n">
        <v>5.84718192209618</v>
      </c>
    </row>
    <row r="55" customFormat="false" ht="360" hidden="false" customHeight="true" outlineLevel="0" collapsed="false">
      <c r="A55" s="1" t="s">
        <v>74</v>
      </c>
      <c r="B55" s="2" t="b">
        <f aca="false">TRUE()</f>
        <v>1</v>
      </c>
      <c r="C55" s="0" t="n">
        <v>14</v>
      </c>
      <c r="D55" s="0" t="s">
        <v>75</v>
      </c>
      <c r="E55" s="0" t="n">
        <v>0.981481481481482</v>
      </c>
      <c r="F55" s="0" t="n">
        <v>56.4322025106339</v>
      </c>
      <c r="G55" s="0" t="n">
        <v>0.990654205607477</v>
      </c>
      <c r="H55" s="0" t="n">
        <v>-0.934579439252332</v>
      </c>
      <c r="I55" s="0" t="n">
        <v>0.986046511627907</v>
      </c>
      <c r="J55" s="0" t="n">
        <v>27.8822226565045</v>
      </c>
    </row>
    <row r="56" customFormat="false" ht="360" hidden="false" customHeight="true" outlineLevel="0" collapsed="false">
      <c r="A56" s="1" t="s">
        <v>74</v>
      </c>
      <c r="B56" s="2" t="b">
        <f aca="false">FALSE()</f>
        <v>0</v>
      </c>
      <c r="C56" s="0" t="n">
        <v>14</v>
      </c>
      <c r="D56" s="0" t="s">
        <v>21</v>
      </c>
      <c r="E56" s="0" t="n">
        <v>0.7890625</v>
      </c>
      <c r="F56" s="0" t="n">
        <v>25.7637429971989</v>
      </c>
      <c r="G56" s="0" t="n">
        <v>0.94392523364486</v>
      </c>
      <c r="H56" s="0" t="n">
        <v>-5.60747663551402</v>
      </c>
      <c r="I56" s="0" t="n">
        <v>0.859574468085106</v>
      </c>
      <c r="J56" s="0" t="n">
        <v>11.4798259729424</v>
      </c>
    </row>
    <row r="57" customFormat="false" ht="360" hidden="false" customHeight="true" outlineLevel="0" collapsed="false">
      <c r="A57" s="1" t="s">
        <v>76</v>
      </c>
      <c r="B57" s="2" t="b">
        <f aca="false">TRUE()</f>
        <v>1</v>
      </c>
      <c r="C57" s="0" t="n">
        <v>14</v>
      </c>
      <c r="D57" s="0" t="s">
        <v>24</v>
      </c>
      <c r="E57" s="0" t="n">
        <v>0.981651376146789</v>
      </c>
      <c r="F57" s="0" t="n">
        <v>56.4592809600904</v>
      </c>
      <c r="G57" s="0" t="n">
        <v>1</v>
      </c>
      <c r="H57" s="0" t="n">
        <v>0</v>
      </c>
      <c r="I57" s="0" t="n">
        <v>0.990740740740741</v>
      </c>
      <c r="J57" s="0" t="n">
        <v>28.4910260400456</v>
      </c>
    </row>
    <row r="58" customFormat="false" ht="360" hidden="false" customHeight="true" outlineLevel="0" collapsed="false">
      <c r="A58" s="1" t="s">
        <v>76</v>
      </c>
      <c r="B58" s="2" t="b">
        <f aca="false">FALSE()</f>
        <v>0</v>
      </c>
      <c r="C58" s="0" t="n">
        <v>14</v>
      </c>
      <c r="D58" s="0" t="s">
        <v>77</v>
      </c>
      <c r="E58" s="0" t="n">
        <v>0.821138211382114</v>
      </c>
      <c r="F58" s="0" t="n">
        <v>30.8760902735078</v>
      </c>
      <c r="G58" s="0" t="n">
        <v>0.94392523364486</v>
      </c>
      <c r="H58" s="0" t="n">
        <v>-5.60747663551402</v>
      </c>
      <c r="I58" s="0" t="n">
        <v>0.878260869565217</v>
      </c>
      <c r="J58" s="0" t="n">
        <v>13.903300450615</v>
      </c>
    </row>
    <row r="59" customFormat="false" ht="360" hidden="false" customHeight="true" outlineLevel="0" collapsed="false">
      <c r="A59" s="1" t="s">
        <v>78</v>
      </c>
      <c r="B59" s="2" t="b">
        <f aca="false">TRUE()</f>
        <v>1</v>
      </c>
      <c r="C59" s="0" t="n">
        <v>14</v>
      </c>
      <c r="D59" s="0" t="s">
        <v>79</v>
      </c>
      <c r="E59" s="0" t="n">
        <v>0.947916666666667</v>
      </c>
      <c r="F59" s="0" t="n">
        <v>51.0825163398693</v>
      </c>
      <c r="G59" s="0" t="n">
        <v>0.850467289719626</v>
      </c>
      <c r="H59" s="0" t="n">
        <v>-14.9532710280374</v>
      </c>
      <c r="I59" s="0" t="n">
        <v>0.896551724137931</v>
      </c>
      <c r="J59" s="0" t="n">
        <v>16.2754757075244</v>
      </c>
    </row>
    <row r="60" customFormat="false" ht="360" hidden="false" customHeight="true" outlineLevel="0" collapsed="false">
      <c r="A60" s="1" t="s">
        <v>78</v>
      </c>
      <c r="B60" s="2" t="b">
        <f aca="false">FALSE()</f>
        <v>0</v>
      </c>
      <c r="C60" s="0" t="n">
        <v>14</v>
      </c>
      <c r="D60" s="0" t="s">
        <v>80</v>
      </c>
      <c r="E60" s="0" t="n">
        <v>0.961904761904762</v>
      </c>
      <c r="F60" s="0" t="n">
        <v>53.311991463252</v>
      </c>
      <c r="G60" s="0" t="n">
        <v>0.94392523364486</v>
      </c>
      <c r="H60" s="0" t="n">
        <v>-5.60747663551402</v>
      </c>
      <c r="I60" s="0" t="n">
        <v>0.952830188679245</v>
      </c>
      <c r="J60" s="0" t="n">
        <v>23.5743353945352</v>
      </c>
    </row>
    <row r="61" s="5" customFormat="true" ht="360" hidden="false" customHeight="true" outlineLevel="0" collapsed="false">
      <c r="A61" s="5" t="s">
        <v>81</v>
      </c>
      <c r="B61" s="6" t="b">
        <f aca="false">TRUE()</f>
        <v>1</v>
      </c>
      <c r="C61" s="5" t="n">
        <v>14</v>
      </c>
      <c r="D61" s="5" t="s">
        <v>29</v>
      </c>
      <c r="E61" s="5" t="n">
        <v>0.990740740740741</v>
      </c>
      <c r="F61" s="5" t="n">
        <v>57.9079780060172</v>
      </c>
      <c r="G61" s="5" t="n">
        <v>1</v>
      </c>
      <c r="H61" s="5" t="n">
        <v>0</v>
      </c>
      <c r="I61" s="5" t="n">
        <v>0.995348837209302</v>
      </c>
      <c r="J61" s="5" t="n">
        <v>29.0886587193017</v>
      </c>
      <c r="L61" s="5" t="s">
        <v>82</v>
      </c>
    </row>
    <row r="62" customFormat="false" ht="360" hidden="false" customHeight="true" outlineLevel="0" collapsed="false">
      <c r="A62" s="1" t="s">
        <v>81</v>
      </c>
      <c r="B62" s="2" t="b">
        <f aca="false">FALSE()</f>
        <v>0</v>
      </c>
      <c r="C62" s="0" t="n">
        <v>14</v>
      </c>
      <c r="D62" s="0" t="s">
        <v>29</v>
      </c>
      <c r="E62" s="0" t="n">
        <v>0.981481481481482</v>
      </c>
      <c r="F62" s="0" t="n">
        <v>56.4322025106339</v>
      </c>
      <c r="G62" s="0" t="n">
        <v>0.990654205607477</v>
      </c>
      <c r="H62" s="0" t="n">
        <v>-0.934579439252332</v>
      </c>
      <c r="I62" s="0" t="n">
        <v>0.986046511627907</v>
      </c>
      <c r="J62" s="0" t="n">
        <v>27.8822226565045</v>
      </c>
    </row>
    <row r="63" customFormat="false" ht="360" hidden="false" customHeight="true" outlineLevel="0" collapsed="false">
      <c r="A63" s="1" t="s">
        <v>83</v>
      </c>
      <c r="B63" s="2" t="b">
        <f aca="false">TRUE()</f>
        <v>1</v>
      </c>
      <c r="C63" s="0" t="n">
        <v>17</v>
      </c>
      <c r="D63" s="0" t="s">
        <v>84</v>
      </c>
      <c r="E63" s="0" t="n">
        <v>0.954128440366972</v>
      </c>
      <c r="F63" s="0" t="n">
        <v>52.0725721481253</v>
      </c>
      <c r="G63" s="0" t="n">
        <v>0.97196261682243</v>
      </c>
      <c r="H63" s="0" t="n">
        <v>-2.80373831775701</v>
      </c>
      <c r="I63" s="0" t="n">
        <v>0.962962962962963</v>
      </c>
      <c r="J63" s="0" t="n">
        <v>24.8884739080817</v>
      </c>
    </row>
    <row r="64" customFormat="false" ht="360" hidden="false" customHeight="true" outlineLevel="0" collapsed="false">
      <c r="A64" s="1" t="s">
        <v>83</v>
      </c>
      <c r="B64" s="2" t="b">
        <f aca="false">FALSE()</f>
        <v>0</v>
      </c>
      <c r="C64" s="0" t="n">
        <v>17</v>
      </c>
      <c r="D64" s="0" t="s">
        <v>85</v>
      </c>
      <c r="E64" s="0" t="n">
        <v>0.887931034482759</v>
      </c>
      <c r="F64" s="0" t="n">
        <v>41.5217811262436</v>
      </c>
      <c r="G64" s="0" t="n">
        <v>0.962616822429906</v>
      </c>
      <c r="H64" s="0" t="n">
        <v>-3.73831775700934</v>
      </c>
      <c r="I64" s="0" t="n">
        <v>0.923766816143498</v>
      </c>
      <c r="J64" s="0" t="n">
        <v>19.8050520656693</v>
      </c>
    </row>
    <row r="65" customFormat="false" ht="360" hidden="false" customHeight="true" outlineLevel="0" collapsed="false">
      <c r="A65" s="1" t="s">
        <v>86</v>
      </c>
      <c r="B65" s="2" t="b">
        <f aca="false">TRUE()</f>
        <v>1</v>
      </c>
      <c r="C65" s="0" t="n">
        <v>17</v>
      </c>
      <c r="D65" s="0" t="s">
        <v>87</v>
      </c>
      <c r="E65" s="0" t="n">
        <v>0.981481481481482</v>
      </c>
      <c r="F65" s="0" t="n">
        <v>56.4322025106339</v>
      </c>
      <c r="G65" s="0" t="n">
        <v>0.990654205607477</v>
      </c>
      <c r="H65" s="0" t="n">
        <v>-0.934579439252332</v>
      </c>
      <c r="I65" s="0" t="n">
        <v>0.986046511627907</v>
      </c>
      <c r="J65" s="0" t="n">
        <v>27.8822226565045</v>
      </c>
    </row>
    <row r="66" customFormat="false" ht="360" hidden="false" customHeight="true" outlineLevel="0" collapsed="false">
      <c r="A66" s="1" t="s">
        <v>86</v>
      </c>
      <c r="B66" s="2" t="b">
        <f aca="false">FALSE()</f>
        <v>0</v>
      </c>
      <c r="C66" s="0" t="n">
        <v>17</v>
      </c>
      <c r="D66" s="0" t="s">
        <v>87</v>
      </c>
      <c r="E66" s="0" t="n">
        <v>0.904347826086956</v>
      </c>
      <c r="F66" s="0" t="n">
        <v>44.1383509925709</v>
      </c>
      <c r="G66" s="0" t="n">
        <v>0.97196261682243</v>
      </c>
      <c r="H66" s="0" t="n">
        <v>-2.80373831775701</v>
      </c>
      <c r="I66" s="0" t="n">
        <v>0.936936936936937</v>
      </c>
      <c r="J66" s="0" t="n">
        <v>21.5131097484039</v>
      </c>
    </row>
    <row r="67" customFormat="false" ht="360" hidden="false" customHeight="true" outlineLevel="0" collapsed="false">
      <c r="A67" s="1" t="s">
        <v>88</v>
      </c>
      <c r="B67" s="2" t="b">
        <f aca="false">TRUE()</f>
        <v>1</v>
      </c>
      <c r="C67" s="0" t="n">
        <v>17</v>
      </c>
      <c r="D67" s="0" t="s">
        <v>36</v>
      </c>
      <c r="E67" s="0" t="n">
        <v>0.981651376146789</v>
      </c>
      <c r="F67" s="0" t="n">
        <v>56.4592809600904</v>
      </c>
      <c r="G67" s="0" t="n">
        <v>1</v>
      </c>
      <c r="H67" s="0" t="n">
        <v>0</v>
      </c>
      <c r="I67" s="0" t="n">
        <v>0.990740740740741</v>
      </c>
      <c r="J67" s="0" t="n">
        <v>28.4910260400456</v>
      </c>
    </row>
    <row r="68" customFormat="false" ht="360" hidden="false" customHeight="true" outlineLevel="0" collapsed="false">
      <c r="A68" s="1" t="s">
        <v>88</v>
      </c>
      <c r="B68" s="2" t="b">
        <f aca="false">FALSE()</f>
        <v>0</v>
      </c>
      <c r="C68" s="0" t="n">
        <v>17</v>
      </c>
      <c r="D68" s="0" t="s">
        <v>24</v>
      </c>
      <c r="E68" s="0" t="n">
        <v>0.929203539823009</v>
      </c>
      <c r="F68" s="0" t="n">
        <v>48.0999479437793</v>
      </c>
      <c r="G68" s="0" t="n">
        <v>0.981308411214953</v>
      </c>
      <c r="H68" s="0" t="n">
        <v>-1.86915887850468</v>
      </c>
      <c r="I68" s="0" t="n">
        <v>0.954545454545455</v>
      </c>
      <c r="J68" s="0" t="n">
        <v>23.7967914438503</v>
      </c>
    </row>
    <row r="69" customFormat="false" ht="360" hidden="false" customHeight="true" outlineLevel="0" collapsed="false">
      <c r="A69" s="1" t="s">
        <v>89</v>
      </c>
      <c r="B69" s="2" t="b">
        <f aca="false">TRUE()</f>
        <v>1</v>
      </c>
      <c r="C69" s="0" t="n">
        <v>17</v>
      </c>
      <c r="D69" s="0" t="s">
        <v>90</v>
      </c>
      <c r="E69" s="0" t="n">
        <v>0.908256880733945</v>
      </c>
      <c r="F69" s="0" t="n">
        <v>44.76139079485</v>
      </c>
      <c r="G69" s="0" t="n">
        <v>0.925233644859813</v>
      </c>
      <c r="H69" s="0" t="n">
        <v>-7.4766355140187</v>
      </c>
      <c r="I69" s="0" t="n">
        <v>0.916666666666667</v>
      </c>
      <c r="J69" s="0" t="n">
        <v>18.8842203548086</v>
      </c>
    </row>
    <row r="70" customFormat="false" ht="360" hidden="false" customHeight="true" outlineLevel="0" collapsed="false">
      <c r="A70" s="1" t="s">
        <v>89</v>
      </c>
      <c r="B70" s="2" t="b">
        <f aca="false">FALSE()</f>
        <v>0</v>
      </c>
      <c r="C70" s="0" t="n">
        <v>17</v>
      </c>
      <c r="D70" s="0" t="s">
        <v>91</v>
      </c>
      <c r="E70" s="0" t="n">
        <v>0.951923076923077</v>
      </c>
      <c r="F70" s="0" t="n">
        <v>51.7210730446025</v>
      </c>
      <c r="G70" s="0" t="n">
        <v>0.925233644859813</v>
      </c>
      <c r="H70" s="0" t="n">
        <v>-7.4766355140187</v>
      </c>
      <c r="I70" s="0" t="n">
        <v>0.938388625592417</v>
      </c>
      <c r="J70" s="0" t="n">
        <v>21.7013819745908</v>
      </c>
    </row>
    <row r="71" customFormat="false" ht="360" hidden="false" customHeight="true" outlineLevel="0" collapsed="false">
      <c r="A71" s="1" t="s">
        <v>92</v>
      </c>
      <c r="B71" s="2" t="b">
        <f aca="false">TRUE()</f>
        <v>1</v>
      </c>
      <c r="C71" s="0" t="n">
        <v>17</v>
      </c>
      <c r="D71" s="0" t="s">
        <v>29</v>
      </c>
      <c r="E71" s="0" t="n">
        <v>0.981481481481482</v>
      </c>
      <c r="F71" s="0" t="n">
        <v>56.4322025106339</v>
      </c>
      <c r="G71" s="0" t="n">
        <v>0.990654205607477</v>
      </c>
      <c r="H71" s="0" t="n">
        <v>-0.934579439252332</v>
      </c>
      <c r="I71" s="0" t="n">
        <v>0.986046511627907</v>
      </c>
      <c r="J71" s="0" t="n">
        <v>27.8822226565045</v>
      </c>
    </row>
    <row r="72" customFormat="false" ht="360" hidden="false" customHeight="true" outlineLevel="0" collapsed="false">
      <c r="A72" s="1" t="s">
        <v>92</v>
      </c>
      <c r="B72" s="2" t="b">
        <f aca="false">FALSE()</f>
        <v>0</v>
      </c>
      <c r="C72" s="0" t="n">
        <v>17</v>
      </c>
      <c r="D72" s="0" t="s">
        <v>29</v>
      </c>
      <c r="E72" s="0" t="n">
        <v>0.981481481481482</v>
      </c>
      <c r="F72" s="0" t="n">
        <v>56.4322025106339</v>
      </c>
      <c r="G72" s="0" t="n">
        <v>0.990654205607477</v>
      </c>
      <c r="H72" s="0" t="n">
        <v>-0.934579439252332</v>
      </c>
      <c r="I72" s="0" t="n">
        <v>0.986046511627907</v>
      </c>
      <c r="J72" s="0" t="n">
        <v>27.8822226565045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2025-11-20T12:27:24Z</dcterms:created>
  <dc:creator>openpyxl</dc:creator>
  <dc:description/>
  <dc:language>en-US</dc:language>
  <cp:lastModifiedBy/>
  <dcterms:modified xsi:type="dcterms:W3CDTF">2025-11-20T14:37:53Z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